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tudent Database" sheetId="2" state="visible" r:id="rId4"/>
    <sheet name="Grades &amp; Results" sheetId="3" state="visible" r:id="rId5"/>
    <sheet name="Fee Management" sheetId="4" state="visible" r:id="rId6"/>
    <sheet name="Attendance Track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<sst xmlns="http://schemas.openxmlformats.org/spreadsheetml/2006/main" count="1012" uniqueCount="254">
  <si>
    <t xml:space="preserve">📈  SCHOOL MANAGEMENT DASHBOARD — Academic Year 2024-25</t>
  </si>
  <si>
    <t xml:space="preserve">Total Students</t>
  </si>
  <si>
    <t xml:space="preserve">Active Students</t>
  </si>
  <si>
    <t xml:space="preserve">Average Score</t>
  </si>
  <si>
    <t xml:space="preserve">Fee Collection</t>
  </si>
  <si>
    <t xml:space="preserve">Male Students</t>
  </si>
  <si>
    <t xml:space="preserve">Female Students</t>
  </si>
  <si>
    <t xml:space="preserve">Top Scorer</t>
  </si>
  <si>
    <t xml:space="preserve">Fee Pending</t>
  </si>
  <si>
    <t xml:space="preserve">GRADE DISTRIBUTION</t>
  </si>
  <si>
    <t xml:space="preserve">CLASS-WISE FEE SUMMARY</t>
  </si>
  <si>
    <t xml:space="preserve">Grade</t>
  </si>
  <si>
    <t xml:space="preserve">Range</t>
  </si>
  <si>
    <t xml:space="preserve">Students</t>
  </si>
  <si>
    <t xml:space="preserve">% of Total</t>
  </si>
  <si>
    <t xml:space="preserve">Class</t>
  </si>
  <si>
    <t xml:space="preserve">Total Fee</t>
  </si>
  <si>
    <t xml:space="preserve">Collected</t>
  </si>
  <si>
    <t xml:space="preserve">Pending</t>
  </si>
  <si>
    <t xml:space="preserve">Collection %</t>
  </si>
  <si>
    <t xml:space="preserve">A+</t>
  </si>
  <si>
    <t xml:space="preserve">&gt;=90</t>
  </si>
  <si>
    <t xml:space="preserve">Class 10</t>
  </si>
  <si>
    <t xml:space="preserve">A</t>
  </si>
  <si>
    <t xml:space="preserve">80-89</t>
  </si>
  <si>
    <t xml:space="preserve">Class 11</t>
  </si>
  <si>
    <t xml:space="preserve">B+</t>
  </si>
  <si>
    <t xml:space="preserve">70-79</t>
  </si>
  <si>
    <t xml:space="preserve">Class 12</t>
  </si>
  <si>
    <t xml:space="preserve">B</t>
  </si>
  <si>
    <t xml:space="preserve">60-69</t>
  </si>
  <si>
    <t xml:space="preserve">C</t>
  </si>
  <si>
    <t xml:space="preserve">50-59</t>
  </si>
  <si>
    <t xml:space="preserve">F</t>
  </si>
  <si>
    <t xml:space="preserve">&lt;50</t>
  </si>
  <si>
    <t xml:space="preserve">🎓  STUDENT RECORD MANAGEMENT SYSTEM</t>
  </si>
  <si>
    <t xml:space="preserve">Student ID</t>
  </si>
  <si>
    <t xml:space="preserve">Full Name</t>
  </si>
  <si>
    <t xml:space="preserve">Date of Birth</t>
  </si>
  <si>
    <t xml:space="preserve">Gender</t>
  </si>
  <si>
    <t xml:space="preserve">Class / Grade</t>
  </si>
  <si>
    <t xml:space="preserve">Section</t>
  </si>
  <si>
    <t xml:space="preserve">Contact Number</t>
  </si>
  <si>
    <t xml:space="preserve">Email</t>
  </si>
  <si>
    <t xml:space="preserve">Address</t>
  </si>
  <si>
    <t xml:space="preserve">Guardian Name</t>
  </si>
  <si>
    <t xml:space="preserve">Admission Date</t>
  </si>
  <si>
    <t xml:space="preserve">Status</t>
  </si>
  <si>
    <t xml:space="preserve">STU-001</t>
  </si>
  <si>
    <t xml:space="preserve">Arjun Sharma</t>
  </si>
  <si>
    <t xml:space="preserve">15/03/2008</t>
  </si>
  <si>
    <t xml:space="preserve">Male</t>
  </si>
  <si>
    <t xml:space="preserve">10</t>
  </si>
  <si>
    <t xml:space="preserve">9876543210</t>
  </si>
  <si>
    <t xml:space="preserve">arjun.s@school.edu</t>
  </si>
  <si>
    <t xml:space="preserve">12 MG Road, Ludhiana</t>
  </si>
  <si>
    <t xml:space="preserve">Ravi Sharma</t>
  </si>
  <si>
    <t xml:space="preserve">01/04/2022</t>
  </si>
  <si>
    <t xml:space="preserve">Active</t>
  </si>
  <si>
    <t xml:space="preserve">STU-002</t>
  </si>
  <si>
    <t xml:space="preserve">Priya Patel</t>
  </si>
  <si>
    <t xml:space="preserve">22/07/2008</t>
  </si>
  <si>
    <t xml:space="preserve">Female</t>
  </si>
  <si>
    <t xml:space="preserve">9823456781</t>
  </si>
  <si>
    <t xml:space="preserve">priya.p@school.edu</t>
  </si>
  <si>
    <t xml:space="preserve">45 Civil Lines, Ludhiana</t>
  </si>
  <si>
    <t xml:space="preserve">Suresh Patel</t>
  </si>
  <si>
    <t xml:space="preserve">STU-003</t>
  </si>
  <si>
    <t xml:space="preserve">Rahul Verma</t>
  </si>
  <si>
    <t xml:space="preserve">08/11/2007</t>
  </si>
  <si>
    <t xml:space="preserve">9811234567</t>
  </si>
  <si>
    <t xml:space="preserve">rahul.v@school.edu</t>
  </si>
  <si>
    <t xml:space="preserve">7 Model Town, Ludhiana</t>
  </si>
  <si>
    <t xml:space="preserve">Anil Verma</t>
  </si>
  <si>
    <t xml:space="preserve">15/04/2022</t>
  </si>
  <si>
    <t xml:space="preserve">STU-004</t>
  </si>
  <si>
    <t xml:space="preserve">Sneha Gupta</t>
  </si>
  <si>
    <t xml:space="preserve">30/01/2008</t>
  </si>
  <si>
    <t xml:space="preserve">9845678901</t>
  </si>
  <si>
    <t xml:space="preserve">sneha.g@school.edu</t>
  </si>
  <si>
    <t xml:space="preserve">23 Sarabha Nagar</t>
  </si>
  <si>
    <t xml:space="preserve">Manoj Gupta</t>
  </si>
  <si>
    <t xml:space="preserve">STU-005</t>
  </si>
  <si>
    <t xml:space="preserve">Amit Singh</t>
  </si>
  <si>
    <t xml:space="preserve">12/05/2008</t>
  </si>
  <si>
    <t xml:space="preserve">9867890123</t>
  </si>
  <si>
    <t xml:space="preserve">amit.s@school.edu</t>
  </si>
  <si>
    <t xml:space="preserve">56 Dugri Road</t>
  </si>
  <si>
    <t xml:space="preserve">Harpal Singh</t>
  </si>
  <si>
    <t xml:space="preserve">STU-006</t>
  </si>
  <si>
    <t xml:space="preserve">Kavya Nair</t>
  </si>
  <si>
    <t xml:space="preserve">03/09/2008</t>
  </si>
  <si>
    <t xml:space="preserve">9812345678</t>
  </si>
  <si>
    <t xml:space="preserve">kavya.n@school.edu</t>
  </si>
  <si>
    <t xml:space="preserve">89 BRS Nagar</t>
  </si>
  <si>
    <t xml:space="preserve">Mohan Nair</t>
  </si>
  <si>
    <t xml:space="preserve">STU-007</t>
  </si>
  <si>
    <t xml:space="preserve">Vikram Rao</t>
  </si>
  <si>
    <t xml:space="preserve">25/06/2007</t>
  </si>
  <si>
    <t xml:space="preserve">9834567890</t>
  </si>
  <si>
    <t xml:space="preserve">vikram.r@school.edu</t>
  </si>
  <si>
    <t xml:space="preserve">34 Guru Nanak Colony</t>
  </si>
  <si>
    <t xml:space="preserve">Suresh Rao</t>
  </si>
  <si>
    <t xml:space="preserve">10/04/2022</t>
  </si>
  <si>
    <t xml:space="preserve">STU-008</t>
  </si>
  <si>
    <t xml:space="preserve">Anjali Kumar</t>
  </si>
  <si>
    <t xml:space="preserve">17/12/2008</t>
  </si>
  <si>
    <t xml:space="preserve">9856789012</t>
  </si>
  <si>
    <t xml:space="preserve">anjali.k@school.edu</t>
  </si>
  <si>
    <t xml:space="preserve">67 Haibowal Kalan</t>
  </si>
  <si>
    <t xml:space="preserve">Deepak Kumar</t>
  </si>
  <si>
    <t xml:space="preserve">STU-009</t>
  </si>
  <si>
    <t xml:space="preserve">Rohan Mehta</t>
  </si>
  <si>
    <t xml:space="preserve">09/04/2008</t>
  </si>
  <si>
    <t xml:space="preserve">9878901234</t>
  </si>
  <si>
    <t xml:space="preserve">rohan.m@school.edu</t>
  </si>
  <si>
    <t xml:space="preserve">11 Pakhowal Road</t>
  </si>
  <si>
    <t xml:space="preserve">Vinod Mehta</t>
  </si>
  <si>
    <t xml:space="preserve">STU-010</t>
  </si>
  <si>
    <t xml:space="preserve">Pooja Sharma</t>
  </si>
  <si>
    <t xml:space="preserve">14/08/2007</t>
  </si>
  <si>
    <t xml:space="preserve">9890123456</t>
  </si>
  <si>
    <t xml:space="preserve">pooja.sh@school.edu</t>
  </si>
  <si>
    <t xml:space="preserve">28 Shiwalik Enclave</t>
  </si>
  <si>
    <t xml:space="preserve">Rajesh Sharma</t>
  </si>
  <si>
    <t xml:space="preserve">STU-011</t>
  </si>
  <si>
    <t xml:space="preserve">Karan Malhotra</t>
  </si>
  <si>
    <t xml:space="preserve">21/02/2008</t>
  </si>
  <si>
    <t xml:space="preserve">11</t>
  </si>
  <si>
    <t xml:space="preserve">9812367890</t>
  </si>
  <si>
    <t xml:space="preserve">karan.m@school.edu</t>
  </si>
  <si>
    <t xml:space="preserve">15 Rishi Nagar</t>
  </si>
  <si>
    <t xml:space="preserve">Ajay Malhotra</t>
  </si>
  <si>
    <t xml:space="preserve">01/04/2023</t>
  </si>
  <si>
    <t xml:space="preserve">STU-012</t>
  </si>
  <si>
    <t xml:space="preserve">Divya Joshi</t>
  </si>
  <si>
    <t xml:space="preserve">06/10/2007</t>
  </si>
  <si>
    <t xml:space="preserve">9823456701</t>
  </si>
  <si>
    <t xml:space="preserve">divya.j@school.edu</t>
  </si>
  <si>
    <t xml:space="preserve">38 Lajpat Nagar</t>
  </si>
  <si>
    <t xml:space="preserve">Prakash Joshi</t>
  </si>
  <si>
    <t xml:space="preserve">STU-013</t>
  </si>
  <si>
    <t xml:space="preserve">Siddharth Roy</t>
  </si>
  <si>
    <t xml:space="preserve">29/07/2007</t>
  </si>
  <si>
    <t xml:space="preserve">9834512345</t>
  </si>
  <si>
    <t xml:space="preserve">sid.r@school.edu</t>
  </si>
  <si>
    <t xml:space="preserve">52 Bhai Randhir Nagar</t>
  </si>
  <si>
    <t xml:space="preserve">Tapan Roy</t>
  </si>
  <si>
    <t xml:space="preserve">STU-014</t>
  </si>
  <si>
    <t xml:space="preserve">Meera Iyengar</t>
  </si>
  <si>
    <t xml:space="preserve">18/03/2008</t>
  </si>
  <si>
    <t xml:space="preserve">9845623456</t>
  </si>
  <si>
    <t xml:space="preserve">meera.i@school.edu</t>
  </si>
  <si>
    <t xml:space="preserve">76 Aggar Nagar</t>
  </si>
  <si>
    <t xml:space="preserve">Suresh Iyengar</t>
  </si>
  <si>
    <t xml:space="preserve">STU-015</t>
  </si>
  <si>
    <t xml:space="preserve">Aditya Khanna</t>
  </si>
  <si>
    <t xml:space="preserve">11/11/2007</t>
  </si>
  <si>
    <t xml:space="preserve">9856734567</t>
  </si>
  <si>
    <t xml:space="preserve">aditya.k@school.edu</t>
  </si>
  <si>
    <t xml:space="preserve">19 Dugri Phase-2</t>
  </si>
  <si>
    <t xml:space="preserve">Sunil Khanna</t>
  </si>
  <si>
    <t xml:space="preserve">STU-016</t>
  </si>
  <si>
    <t xml:space="preserve">Ritika Bose</t>
  </si>
  <si>
    <t xml:space="preserve">04/06/2007</t>
  </si>
  <si>
    <t xml:space="preserve">9867845678</t>
  </si>
  <si>
    <t xml:space="preserve">ritika.b@school.edu</t>
  </si>
  <si>
    <t xml:space="preserve">43 BRS Nagar Phase-2</t>
  </si>
  <si>
    <t xml:space="preserve">Amitabh Bose</t>
  </si>
  <si>
    <t xml:space="preserve">STU-017</t>
  </si>
  <si>
    <t xml:space="preserve">Nikhil Thakur</t>
  </si>
  <si>
    <t xml:space="preserve">28/09/2007</t>
  </si>
  <si>
    <t xml:space="preserve">12</t>
  </si>
  <si>
    <t xml:space="preserve">9878956789</t>
  </si>
  <si>
    <t xml:space="preserve">nikhil.t@school.edu</t>
  </si>
  <si>
    <t xml:space="preserve">8 Model Town Extn</t>
  </si>
  <si>
    <t xml:space="preserve">Vijay Thakur</t>
  </si>
  <si>
    <t xml:space="preserve">01/04/2024</t>
  </si>
  <si>
    <t xml:space="preserve">STU-018</t>
  </si>
  <si>
    <t xml:space="preserve">Simran Kaur</t>
  </si>
  <si>
    <t xml:space="preserve">15/01/2007</t>
  </si>
  <si>
    <t xml:space="preserve">9890067890</t>
  </si>
  <si>
    <t xml:space="preserve">simran.k@school.edu</t>
  </si>
  <si>
    <t xml:space="preserve">32 Sarabha Nagar Extn</t>
  </si>
  <si>
    <t xml:space="preserve">Gurpreet Kaur</t>
  </si>
  <si>
    <t xml:space="preserve">STU-019</t>
  </si>
  <si>
    <t xml:space="preserve">Akash Tiwari</t>
  </si>
  <si>
    <t xml:space="preserve">07/08/2007</t>
  </si>
  <si>
    <t xml:space="preserve">9801178901</t>
  </si>
  <si>
    <t xml:space="preserve">akash.t@school.edu</t>
  </si>
  <si>
    <t xml:space="preserve">61 Guru Nanak Pura</t>
  </si>
  <si>
    <t xml:space="preserve">Ramesh Tiwari</t>
  </si>
  <si>
    <t xml:space="preserve">STU-020</t>
  </si>
  <si>
    <t xml:space="preserve">Shruti Pandey</t>
  </si>
  <si>
    <t xml:space="preserve">23/04/2007</t>
  </si>
  <si>
    <t xml:space="preserve">9812289012</t>
  </si>
  <si>
    <t xml:space="preserve">shruti.p@school.edu</t>
  </si>
  <si>
    <t xml:space="preserve">84 Giaspura</t>
  </si>
  <si>
    <t xml:space="preserve">Anil Pandey</t>
  </si>
  <si>
    <t xml:space="preserve">Inactive</t>
  </si>
  <si>
    <t xml:space="preserve">📊  ACADEMIC RESULTS — TERM 1  |  Academic Year 2024-25</t>
  </si>
  <si>
    <t xml:space="preserve">Student Name</t>
  </si>
  <si>
    <t xml:space="preserve">Mathematics</t>
  </si>
  <si>
    <t xml:space="preserve">Physics</t>
  </si>
  <si>
    <t xml:space="preserve">Chemistry</t>
  </si>
  <si>
    <t xml:space="preserve">Biology</t>
  </si>
  <si>
    <t xml:space="preserve">English</t>
  </si>
  <si>
    <t xml:space="preserve">Hindi</t>
  </si>
  <si>
    <t xml:space="preserve">Computer Sc.</t>
  </si>
  <si>
    <t xml:space="preserve">History</t>
  </si>
  <si>
    <t xml:space="preserve">Total</t>
  </si>
  <si>
    <t xml:space="preserve">Percentage</t>
  </si>
  <si>
    <t xml:space="preserve">Rank</t>
  </si>
  <si>
    <t xml:space="preserve">💰  FEE MANAGEMENT — Academic Year 2024-25</t>
  </si>
  <si>
    <t xml:space="preserve">Tuition Fee</t>
  </si>
  <si>
    <t xml:space="preserve">Library Fee</t>
  </si>
  <si>
    <t xml:space="preserve">Lab Fee</t>
  </si>
  <si>
    <t xml:space="preserve">Sports Fee</t>
  </si>
  <si>
    <t xml:space="preserve">Total Annual Fee</t>
  </si>
  <si>
    <t xml:space="preserve">Term 1 Paid</t>
  </si>
  <si>
    <t xml:space="preserve">Term 2 Paid</t>
  </si>
  <si>
    <t xml:space="preserve">Term 3 Paid</t>
  </si>
  <si>
    <t xml:space="preserve">Total Paid</t>
  </si>
  <si>
    <t xml:space="preserve">Balance Due</t>
  </si>
  <si>
    <t xml:space="preserve">Payment Status</t>
  </si>
  <si>
    <t xml:space="preserve">TOTALS</t>
  </si>
  <si>
    <t xml:space="preserve">📅  ATTENDANCE TRACKER — April 2025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</si>
  <si>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</si>
  <si>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</si>
  <si>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</si>
  <si>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</si>
  <si>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</si>
  <si>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</si>
  <si>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</si>
  <si>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</si>
  <si>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</si>
  <si>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</si>
  <si>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</si>
  <si>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</si>
  <si>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</si>
  <si>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</si>
  <si>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</si>
  <si>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</si>
  <si>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</si>
  <si>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</si>
  <si>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</si>
  <si>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</si>
  <si>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</si>
  <si>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</si>
  <si>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</si>
  <si>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Present</t>
  </si>
  <si>
    <t xml:space="preserve">Absent</t>
  </si>
  <si>
    <t xml:space="preserve">% Attend.</t>
  </si>
  <si>
    <t xml:space="preserve">P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</si>
</sst>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\%"/>
    <numFmt numFmtId="167" formatCode="\₹#,##0"/>
    <numFmt numFmtId="168" formatCode="0"/>
    <numFmt numFmtId="169" formatCode="0.00"/>
    <numFmt numFmtId="170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2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39C12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C0392B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1E8449"/>
        <bgColor rgb="FF008080"/>
      </patternFill>
    </fill>
    <fill>
      <patternFill patternType="solid">
        <fgColor rgb="FFF39C12"/>
        <bgColor rgb="FFE67E22"/>
      </patternFill>
    </fill>
    <fill>
      <patternFill patternType="solid">
        <fgColor rgb="FFE67E22"/>
        <bgColor rgb="FFF39C12"/>
      </patternFill>
    </fill>
    <fill>
      <patternFill patternType="solid">
        <fgColor rgb="FF8E44AD"/>
        <bgColor rgb="FF993366"/>
      </patternFill>
    </fill>
    <fill>
      <patternFill patternType="solid">
        <fgColor rgb="FF16A085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D5F5E3"/>
        <bgColor rgb="FFCCFFFF"/>
      </patternFill>
    </fill>
    <fill>
      <patternFill patternType="solid">
        <fgColor rgb="FFFEF9E7"/>
        <bgColor rgb="FFFFFFFF"/>
      </patternFill>
    </fill>
    <fill>
      <patternFill patternType="solid">
        <fgColor rgb="FFFADBD8"/>
        <bgColor rgb="FFF2F2F2"/>
      </patternFill>
    </fill>
    <fill>
      <patternFill patternType="solid">
        <fgColor rgb="FFF2F2F2"/>
        <bgColor rgb="FFFEF9E7"/>
      </patternFill>
    </fill>
    <fill>
      <patternFill patternType="solid">
        <fgColor rgb="FFFFFFFF"/>
        <bgColor rgb="FFFEF9E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C0C0C0"/>
      <rgbColor rgb="FF808080"/>
      <rgbColor rgb="FF9999FF"/>
      <rgbColor rgb="FF8E44AD"/>
      <rgbColor rgb="FFFEF9E7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2E75B6"/>
      <rgbColor rgb="FF33CCCC"/>
      <rgbColor rgb="FF99CC00"/>
      <rgbColor rgb="FFFFCC00"/>
      <rgbColor rgb="FFF39C12"/>
      <rgbColor rgb="FFE67E22"/>
      <rgbColor rgb="FF666699"/>
      <rgbColor rgb="FF969696"/>
      <rgbColor rgb="FF1F3864"/>
      <rgbColor rgb="FF16A085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0" hidden="false" customHeight="true" outlineLevel="0" collapsed="false">
      <c r="A3" s="2" t="s">
        <v>1</v>
      </c>
      <c r="B3" s="2"/>
      <c r="C3" s="2"/>
      <c r="D3" s="3" t="s">
        <v>2</v>
      </c>
      <c r="E3" s="3"/>
      <c r="F3" s="3"/>
      <c r="G3" s="4" t="s">
        <v>3</v>
      </c>
      <c r="H3" s="4"/>
      <c r="I3" s="4"/>
      <c r="J3" s="5" t="s">
        <v>4</v>
      </c>
      <c r="K3" s="5"/>
      <c r="L3" s="5"/>
    </row>
    <row r="4" customFormat="false" ht="49.5" hidden="false" customHeight="true" outlineLevel="0" collapsed="false">
      <c r="A4" s="6" t="n">
        <f aca="false">COUNTA('Student Database'!A3:A1000)</f>
        <v>20</v>
      </c>
      <c r="B4" s="6"/>
      <c r="C4" s="6"/>
      <c r="D4" s="7" t="n">
        <f aca="false">COUNTIF('Student Database'!L3:L1000,"Active")</f>
        <v>19</v>
      </c>
      <c r="E4" s="7"/>
      <c r="F4" s="7"/>
      <c r="G4" s="8" t="str">
        <f aca="false">AVERAGE('Grades &amp; Results'!L3:L22)&amp;"%"</f>
        <v>76.3625%</v>
      </c>
      <c r="H4" s="8"/>
      <c r="I4" s="8"/>
      <c r="J4" s="9" t="n">
        <f aca="false">SUM('Fee Management'!L3:L22)</f>
        <v>934255</v>
      </c>
      <c r="K4" s="9"/>
      <c r="L4" s="9"/>
    </row>
    <row r="5" customFormat="false" ht="15.75" hidden="false" customHeight="true" outlineLevel="0" collapsed="false"/>
    <row r="6" customFormat="false" ht="30" hidden="false" customHeight="true" outlineLevel="0" collapsed="false">
      <c r="A6" s="10" t="s">
        <v>5</v>
      </c>
      <c r="B6" s="10"/>
      <c r="C6" s="10"/>
      <c r="D6" s="11" t="s">
        <v>6</v>
      </c>
      <c r="E6" s="11"/>
      <c r="F6" s="11"/>
      <c r="G6" s="12" t="s">
        <v>7</v>
      </c>
      <c r="H6" s="12"/>
      <c r="I6" s="12"/>
      <c r="J6" s="13" t="s">
        <v>8</v>
      </c>
      <c r="K6" s="13"/>
      <c r="L6" s="13"/>
    </row>
    <row r="7" customFormat="false" ht="49.5" hidden="false" customHeight="true" outlineLevel="0" collapsed="false">
      <c r="A7" s="14" t="n">
        <f aca="false">COUNTIF('Student Database'!D3:D1000,"Male")</f>
        <v>10</v>
      </c>
      <c r="B7" s="14"/>
      <c r="C7" s="14"/>
      <c r="D7" s="15" t="n">
        <f aca="false">COUNTIF('Student Database'!D3:D1000,"Female")</f>
        <v>10</v>
      </c>
      <c r="E7" s="15"/>
      <c r="F7" s="15"/>
      <c r="G7" s="16" t="str">
        <f aca="false">INDEX('Grades &amp; Results'!B3:B22,MATCH(MAX('Grades &amp; Results'!L3:L22),'Grades &amp; Results'!L3:L22,0))</f>
        <v>Pooja Sharma</v>
      </c>
      <c r="H7" s="16"/>
      <c r="I7" s="16"/>
      <c r="J7" s="17" t="n">
        <f aca="false">SUM('Fee Management'!M3:M22)</f>
        <v>215745</v>
      </c>
      <c r="K7" s="17"/>
      <c r="L7" s="17"/>
    </row>
    <row r="9" customFormat="false" ht="27.75" hidden="false" customHeight="true" outlineLevel="0" collapsed="false">
      <c r="A9" s="18" t="s">
        <v>9</v>
      </c>
      <c r="B9" s="18"/>
      <c r="C9" s="18"/>
      <c r="D9" s="18"/>
      <c r="F9" s="18" t="s">
        <v>10</v>
      </c>
      <c r="G9" s="18"/>
      <c r="H9" s="18"/>
      <c r="I9" s="18"/>
      <c r="J9" s="18"/>
      <c r="K9" s="18"/>
      <c r="L9" s="18"/>
    </row>
    <row r="10" customFormat="false" ht="15" hidden="false" customHeight="false" outlineLevel="0" collapsed="false">
      <c r="A10" s="19" t="s">
        <v>11</v>
      </c>
      <c r="B10" s="19" t="s">
        <v>12</v>
      </c>
      <c r="C10" s="19" t="s">
        <v>13</v>
      </c>
      <c r="D10" s="19" t="s">
        <v>14</v>
      </c>
      <c r="F10" s="19" t="s">
        <v>15</v>
      </c>
      <c r="G10" s="19" t="s">
        <v>13</v>
      </c>
      <c r="H10" s="19" t="s">
        <v>16</v>
      </c>
      <c r="I10" s="19" t="s">
        <v>17</v>
      </c>
      <c r="J10" s="19" t="s">
        <v>18</v>
      </c>
      <c r="K10" s="20" t="s">
        <v>19</v>
      </c>
    </row>
    <row r="11" customFormat="false" ht="15" hidden="false" customHeight="false" outlineLevel="0" collapsed="false">
      <c r="A11" s="21" t="s">
        <v>20</v>
      </c>
      <c r="B11" s="22" t="s">
        <v>21</v>
      </c>
      <c r="C11" s="23" t="n">
        <f aca="false">COUNTIF('Grades &amp; Results'!M3:M22,"A+")</f>
        <v>0</v>
      </c>
      <c r="D11" s="24" t="n">
        <f aca="false">C11/20*100</f>
        <v>0</v>
      </c>
      <c r="F11" s="25" t="s">
        <v>22</v>
      </c>
      <c r="G11" s="26" t="n">
        <f aca="false">COUNTIF('Fee Management'!C3:C22,"10")</f>
        <v>10</v>
      </c>
      <c r="H11" s="27" t="n">
        <f aca="false">SUMIF('Fee Management'!C3:C22,"10",'Fee Management'!H3:H22)</f>
        <v>540000</v>
      </c>
      <c r="I11" s="27" t="n">
        <f aca="false">SUMIF('Fee Management'!C3:C22,"10",'Fee Management'!L3:L22)</f>
        <v>436742</v>
      </c>
      <c r="J11" s="27" t="n">
        <f aca="false">SUMIF('Fee Management'!C3:C22,"10",'Fee Management'!M3:M22)</f>
        <v>103258</v>
      </c>
      <c r="K11" s="28" t="n">
        <f aca="false">I11/H11*100</f>
        <v>80.8781481481481</v>
      </c>
    </row>
    <row r="12" customFormat="false" ht="15" hidden="false" customHeight="false" outlineLevel="0" collapsed="false">
      <c r="A12" s="21" t="s">
        <v>23</v>
      </c>
      <c r="B12" s="22" t="s">
        <v>24</v>
      </c>
      <c r="C12" s="23" t="n">
        <f aca="false">COUNTIF('Grades &amp; Results'!M3:M22,"A")</f>
        <v>5</v>
      </c>
      <c r="D12" s="24" t="n">
        <f aca="false">C12/20*100</f>
        <v>25</v>
      </c>
      <c r="F12" s="25" t="s">
        <v>25</v>
      </c>
      <c r="G12" s="26" t="n">
        <f aca="false">COUNTIF('Fee Management'!C3:C22,"11")</f>
        <v>6</v>
      </c>
      <c r="H12" s="27" t="n">
        <f aca="false">SUMIF('Fee Management'!C3:C22,"11",'Fee Management'!H3:H22)</f>
        <v>354000</v>
      </c>
      <c r="I12" s="27" t="n">
        <f aca="false">SUMIF('Fee Management'!C3:C22,"11",'Fee Management'!L3:L22)</f>
        <v>289854</v>
      </c>
      <c r="J12" s="27" t="n">
        <f aca="false">SUMIF('Fee Management'!C3:C22,"11",'Fee Management'!M3:M22)</f>
        <v>64146</v>
      </c>
      <c r="K12" s="28" t="n">
        <f aca="false">I12/H12*100</f>
        <v>81.8796610169492</v>
      </c>
    </row>
    <row r="13" customFormat="false" ht="15" hidden="false" customHeight="false" outlineLevel="0" collapsed="false">
      <c r="A13" s="29" t="s">
        <v>26</v>
      </c>
      <c r="B13" s="30" t="s">
        <v>27</v>
      </c>
      <c r="C13" s="31" t="n">
        <f aca="false">COUNTIF('Grades &amp; Results'!M3:M22,"B+")</f>
        <v>13</v>
      </c>
      <c r="D13" s="32" t="n">
        <f aca="false">C13/20*100</f>
        <v>65</v>
      </c>
      <c r="F13" s="25" t="s">
        <v>28</v>
      </c>
      <c r="G13" s="26" t="n">
        <f aca="false">COUNTIF('Fee Management'!C3:C22,"12")</f>
        <v>4</v>
      </c>
      <c r="H13" s="27" t="n">
        <f aca="false">SUMIF('Fee Management'!C3:C22,"12",'Fee Management'!H3:H22)</f>
        <v>256000</v>
      </c>
      <c r="I13" s="27" t="n">
        <f aca="false">SUMIF('Fee Management'!C3:C22,"12",'Fee Management'!L3:L22)</f>
        <v>207659</v>
      </c>
      <c r="J13" s="27" t="n">
        <f aca="false">SUMIF('Fee Management'!C3:C22,"12",'Fee Management'!M3:M22)</f>
        <v>48341</v>
      </c>
      <c r="K13" s="28" t="n">
        <f aca="false">I13/H13*100</f>
        <v>81.116796875</v>
      </c>
    </row>
    <row r="14" customFormat="false" ht="15" hidden="false" customHeight="false" outlineLevel="0" collapsed="false">
      <c r="A14" s="29" t="s">
        <v>29</v>
      </c>
      <c r="B14" s="30" t="s">
        <v>30</v>
      </c>
      <c r="C14" s="31" t="n">
        <f aca="false">COUNTIF('Grades &amp; Results'!M3:M22,"B")</f>
        <v>2</v>
      </c>
      <c r="D14" s="32" t="n">
        <f aca="false">C14/20*100</f>
        <v>10</v>
      </c>
    </row>
    <row r="15" customFormat="false" ht="15" hidden="false" customHeight="false" outlineLevel="0" collapsed="false">
      <c r="A15" s="33" t="s">
        <v>31</v>
      </c>
      <c r="B15" s="34" t="s">
        <v>32</v>
      </c>
      <c r="C15" s="35" t="n">
        <f aca="false">COUNTIF('Grades &amp; Results'!M3:M22,"C")</f>
        <v>0</v>
      </c>
      <c r="D15" s="36" t="n">
        <f aca="false">C15/20*100</f>
        <v>0</v>
      </c>
    </row>
    <row r="16" customFormat="false" ht="15" hidden="false" customHeight="false" outlineLevel="0" collapsed="false">
      <c r="A16" s="33" t="s">
        <v>33</v>
      </c>
      <c r="B16" s="34" t="s">
        <v>34</v>
      </c>
      <c r="C16" s="35" t="n">
        <f aca="false">COUNTIF('Grades &amp; Results'!M3:M22,"F")</f>
        <v>0</v>
      </c>
      <c r="D16" s="36" t="n">
        <f aca="false">C16/20*100</f>
        <v>0</v>
      </c>
    </row>
  </sheetData>
  <mergeCells count="19">
    <mergeCell ref="A1:L1"/>
    <mergeCell ref="A3:C3"/>
    <mergeCell ref="D3:F3"/>
    <mergeCell ref="G3:I3"/>
    <mergeCell ref="J3:L3"/>
    <mergeCell ref="A4:C4"/>
    <mergeCell ref="D4:F4"/>
    <mergeCell ref="G4:I4"/>
    <mergeCell ref="J4:L4"/>
    <mergeCell ref="A6:C6"/>
    <mergeCell ref="D6:F6"/>
    <mergeCell ref="G6:I6"/>
    <mergeCell ref="J6:L6"/>
    <mergeCell ref="A7:C7"/>
    <mergeCell ref="D7:F7"/>
    <mergeCell ref="G7:I7"/>
    <mergeCell ref="J7:L7"/>
    <mergeCell ref="A9:D9"/>
    <mergeCell ref="F9:L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26"/>
    <col collapsed="false" customWidth="true" hidden="false" outlineLevel="0" max="9" min="9" style="0" width="30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39.75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6" hidden="false" customHeight="true" outlineLevel="0" collapsed="false">
      <c r="A2" s="20" t="s">
        <v>36</v>
      </c>
      <c r="B2" s="20" t="s">
        <v>37</v>
      </c>
      <c r="C2" s="20" t="s">
        <v>38</v>
      </c>
      <c r="D2" s="20" t="s">
        <v>39</v>
      </c>
      <c r="E2" s="20" t="s">
        <v>40</v>
      </c>
      <c r="F2" s="20" t="s">
        <v>41</v>
      </c>
      <c r="G2" s="20" t="s">
        <v>42</v>
      </c>
      <c r="H2" s="20" t="s">
        <v>43</v>
      </c>
      <c r="I2" s="20" t="s">
        <v>44</v>
      </c>
      <c r="J2" s="20" t="s">
        <v>45</v>
      </c>
      <c r="K2" s="20" t="s">
        <v>46</v>
      </c>
      <c r="L2" s="20" t="s">
        <v>47</v>
      </c>
    </row>
    <row r="3" customFormat="false" ht="15" hidden="false" customHeight="false" outlineLevel="0" collapsed="false">
      <c r="A3" s="37" t="s">
        <v>48</v>
      </c>
      <c r="B3" s="38" t="s">
        <v>49</v>
      </c>
      <c r="C3" s="37" t="s">
        <v>50</v>
      </c>
      <c r="D3" s="37" t="s">
        <v>51</v>
      </c>
      <c r="E3" s="37" t="s">
        <v>52</v>
      </c>
      <c r="F3" s="37" t="s">
        <v>23</v>
      </c>
      <c r="G3" s="37" t="s">
        <v>53</v>
      </c>
      <c r="H3" s="38" t="s">
        <v>54</v>
      </c>
      <c r="I3" s="38" t="s">
        <v>55</v>
      </c>
      <c r="J3" s="38" t="s">
        <v>56</v>
      </c>
      <c r="K3" s="37" t="s">
        <v>57</v>
      </c>
      <c r="L3" s="21" t="s">
        <v>58</v>
      </c>
    </row>
    <row r="4" customFormat="false" ht="15" hidden="false" customHeight="false" outlineLevel="0" collapsed="false">
      <c r="A4" s="39" t="s">
        <v>59</v>
      </c>
      <c r="B4" s="40" t="s">
        <v>60</v>
      </c>
      <c r="C4" s="39" t="s">
        <v>61</v>
      </c>
      <c r="D4" s="39" t="s">
        <v>62</v>
      </c>
      <c r="E4" s="39" t="s">
        <v>52</v>
      </c>
      <c r="F4" s="39" t="s">
        <v>23</v>
      </c>
      <c r="G4" s="39" t="s">
        <v>63</v>
      </c>
      <c r="H4" s="40" t="s">
        <v>64</v>
      </c>
      <c r="I4" s="40" t="s">
        <v>65</v>
      </c>
      <c r="J4" s="40" t="s">
        <v>66</v>
      </c>
      <c r="K4" s="39" t="s">
        <v>57</v>
      </c>
      <c r="L4" s="21" t="s">
        <v>58</v>
      </c>
    </row>
    <row r="5" customFormat="false" ht="15" hidden="false" customHeight="false" outlineLevel="0" collapsed="false">
      <c r="A5" s="37" t="s">
        <v>67</v>
      </c>
      <c r="B5" s="38" t="s">
        <v>68</v>
      </c>
      <c r="C5" s="37" t="s">
        <v>69</v>
      </c>
      <c r="D5" s="37" t="s">
        <v>51</v>
      </c>
      <c r="E5" s="37" t="s">
        <v>52</v>
      </c>
      <c r="F5" s="37" t="s">
        <v>29</v>
      </c>
      <c r="G5" s="37" t="s">
        <v>70</v>
      </c>
      <c r="H5" s="38" t="s">
        <v>71</v>
      </c>
      <c r="I5" s="38" t="s">
        <v>72</v>
      </c>
      <c r="J5" s="38" t="s">
        <v>73</v>
      </c>
      <c r="K5" s="37" t="s">
        <v>74</v>
      </c>
      <c r="L5" s="21" t="s">
        <v>58</v>
      </c>
    </row>
    <row r="6" customFormat="false" ht="15" hidden="false" customHeight="false" outlineLevel="0" collapsed="false">
      <c r="A6" s="39" t="s">
        <v>75</v>
      </c>
      <c r="B6" s="40" t="s">
        <v>76</v>
      </c>
      <c r="C6" s="39" t="s">
        <v>77</v>
      </c>
      <c r="D6" s="39" t="s">
        <v>62</v>
      </c>
      <c r="E6" s="39" t="s">
        <v>52</v>
      </c>
      <c r="F6" s="39" t="s">
        <v>29</v>
      </c>
      <c r="G6" s="39" t="s">
        <v>78</v>
      </c>
      <c r="H6" s="40" t="s">
        <v>79</v>
      </c>
      <c r="I6" s="40" t="s">
        <v>80</v>
      </c>
      <c r="J6" s="40" t="s">
        <v>81</v>
      </c>
      <c r="K6" s="39" t="s">
        <v>57</v>
      </c>
      <c r="L6" s="21" t="s">
        <v>58</v>
      </c>
    </row>
    <row r="7" customFormat="false" ht="15" hidden="false" customHeight="false" outlineLevel="0" collapsed="false">
      <c r="A7" s="37" t="s">
        <v>82</v>
      </c>
      <c r="B7" s="38" t="s">
        <v>83</v>
      </c>
      <c r="C7" s="37" t="s">
        <v>84</v>
      </c>
      <c r="D7" s="37" t="s">
        <v>51</v>
      </c>
      <c r="E7" s="37" t="s">
        <v>52</v>
      </c>
      <c r="F7" s="37" t="s">
        <v>31</v>
      </c>
      <c r="G7" s="37" t="s">
        <v>85</v>
      </c>
      <c r="H7" s="38" t="s">
        <v>86</v>
      </c>
      <c r="I7" s="38" t="s">
        <v>87</v>
      </c>
      <c r="J7" s="38" t="s">
        <v>88</v>
      </c>
      <c r="K7" s="37" t="s">
        <v>57</v>
      </c>
      <c r="L7" s="21" t="s">
        <v>58</v>
      </c>
    </row>
    <row r="8" customFormat="false" ht="15" hidden="false" customHeight="false" outlineLevel="0" collapsed="false">
      <c r="A8" s="39" t="s">
        <v>89</v>
      </c>
      <c r="B8" s="40" t="s">
        <v>90</v>
      </c>
      <c r="C8" s="39" t="s">
        <v>91</v>
      </c>
      <c r="D8" s="39" t="s">
        <v>62</v>
      </c>
      <c r="E8" s="39" t="s">
        <v>52</v>
      </c>
      <c r="F8" s="39" t="s">
        <v>31</v>
      </c>
      <c r="G8" s="39" t="s">
        <v>92</v>
      </c>
      <c r="H8" s="40" t="s">
        <v>93</v>
      </c>
      <c r="I8" s="40" t="s">
        <v>94</v>
      </c>
      <c r="J8" s="40" t="s">
        <v>95</v>
      </c>
      <c r="K8" s="39" t="s">
        <v>57</v>
      </c>
      <c r="L8" s="21" t="s">
        <v>58</v>
      </c>
    </row>
    <row r="9" customFormat="false" ht="15" hidden="false" customHeight="false" outlineLevel="0" collapsed="false">
      <c r="A9" s="37" t="s">
        <v>96</v>
      </c>
      <c r="B9" s="38" t="s">
        <v>97</v>
      </c>
      <c r="C9" s="37" t="s">
        <v>98</v>
      </c>
      <c r="D9" s="37" t="s">
        <v>51</v>
      </c>
      <c r="E9" s="37" t="s">
        <v>52</v>
      </c>
      <c r="F9" s="37" t="s">
        <v>23</v>
      </c>
      <c r="G9" s="37" t="s">
        <v>99</v>
      </c>
      <c r="H9" s="38" t="s">
        <v>100</v>
      </c>
      <c r="I9" s="38" t="s">
        <v>101</v>
      </c>
      <c r="J9" s="38" t="s">
        <v>102</v>
      </c>
      <c r="K9" s="37" t="s">
        <v>103</v>
      </c>
      <c r="L9" s="21" t="s">
        <v>58</v>
      </c>
    </row>
    <row r="10" customFormat="false" ht="15" hidden="false" customHeight="false" outlineLevel="0" collapsed="false">
      <c r="A10" s="39" t="s">
        <v>104</v>
      </c>
      <c r="B10" s="40" t="s">
        <v>105</v>
      </c>
      <c r="C10" s="39" t="s">
        <v>106</v>
      </c>
      <c r="D10" s="39" t="s">
        <v>62</v>
      </c>
      <c r="E10" s="39" t="s">
        <v>52</v>
      </c>
      <c r="F10" s="39" t="s">
        <v>29</v>
      </c>
      <c r="G10" s="39" t="s">
        <v>107</v>
      </c>
      <c r="H10" s="40" t="s">
        <v>108</v>
      </c>
      <c r="I10" s="40" t="s">
        <v>109</v>
      </c>
      <c r="J10" s="40" t="s">
        <v>110</v>
      </c>
      <c r="K10" s="39" t="s">
        <v>57</v>
      </c>
      <c r="L10" s="21" t="s">
        <v>58</v>
      </c>
    </row>
    <row r="11" customFormat="false" ht="15" hidden="false" customHeight="false" outlineLevel="0" collapsed="false">
      <c r="A11" s="37" t="s">
        <v>111</v>
      </c>
      <c r="B11" s="38" t="s">
        <v>112</v>
      </c>
      <c r="C11" s="37" t="s">
        <v>113</v>
      </c>
      <c r="D11" s="37" t="s">
        <v>51</v>
      </c>
      <c r="E11" s="37" t="s">
        <v>52</v>
      </c>
      <c r="F11" s="37" t="s">
        <v>31</v>
      </c>
      <c r="G11" s="37" t="s">
        <v>114</v>
      </c>
      <c r="H11" s="38" t="s">
        <v>115</v>
      </c>
      <c r="I11" s="38" t="s">
        <v>116</v>
      </c>
      <c r="J11" s="38" t="s">
        <v>117</v>
      </c>
      <c r="K11" s="37" t="s">
        <v>57</v>
      </c>
      <c r="L11" s="21" t="s">
        <v>58</v>
      </c>
    </row>
    <row r="12" customFormat="false" ht="15" hidden="false" customHeight="false" outlineLevel="0" collapsed="false">
      <c r="A12" s="39" t="s">
        <v>118</v>
      </c>
      <c r="B12" s="40" t="s">
        <v>119</v>
      </c>
      <c r="C12" s="39" t="s">
        <v>120</v>
      </c>
      <c r="D12" s="39" t="s">
        <v>62</v>
      </c>
      <c r="E12" s="39" t="s">
        <v>52</v>
      </c>
      <c r="F12" s="39" t="s">
        <v>23</v>
      </c>
      <c r="G12" s="39" t="s">
        <v>121</v>
      </c>
      <c r="H12" s="40" t="s">
        <v>122</v>
      </c>
      <c r="I12" s="40" t="s">
        <v>123</v>
      </c>
      <c r="J12" s="40" t="s">
        <v>124</v>
      </c>
      <c r="K12" s="39" t="s">
        <v>57</v>
      </c>
      <c r="L12" s="21" t="s">
        <v>58</v>
      </c>
    </row>
    <row r="13" customFormat="false" ht="15" hidden="false" customHeight="false" outlineLevel="0" collapsed="false">
      <c r="A13" s="37" t="s">
        <v>125</v>
      </c>
      <c r="B13" s="38" t="s">
        <v>126</v>
      </c>
      <c r="C13" s="37" t="s">
        <v>127</v>
      </c>
      <c r="D13" s="37" t="s">
        <v>51</v>
      </c>
      <c r="E13" s="37" t="s">
        <v>128</v>
      </c>
      <c r="F13" s="37" t="s">
        <v>23</v>
      </c>
      <c r="G13" s="37" t="s">
        <v>129</v>
      </c>
      <c r="H13" s="38" t="s">
        <v>130</v>
      </c>
      <c r="I13" s="38" t="s">
        <v>131</v>
      </c>
      <c r="J13" s="38" t="s">
        <v>132</v>
      </c>
      <c r="K13" s="37" t="s">
        <v>133</v>
      </c>
      <c r="L13" s="21" t="s">
        <v>58</v>
      </c>
    </row>
    <row r="14" customFormat="false" ht="15" hidden="false" customHeight="false" outlineLevel="0" collapsed="false">
      <c r="A14" s="39" t="s">
        <v>134</v>
      </c>
      <c r="B14" s="40" t="s">
        <v>135</v>
      </c>
      <c r="C14" s="39" t="s">
        <v>136</v>
      </c>
      <c r="D14" s="39" t="s">
        <v>62</v>
      </c>
      <c r="E14" s="39" t="s">
        <v>128</v>
      </c>
      <c r="F14" s="39" t="s">
        <v>23</v>
      </c>
      <c r="G14" s="39" t="s">
        <v>137</v>
      </c>
      <c r="H14" s="40" t="s">
        <v>138</v>
      </c>
      <c r="I14" s="40" t="s">
        <v>139</v>
      </c>
      <c r="J14" s="40" t="s">
        <v>140</v>
      </c>
      <c r="K14" s="39" t="s">
        <v>133</v>
      </c>
      <c r="L14" s="21" t="s">
        <v>58</v>
      </c>
    </row>
    <row r="15" customFormat="false" ht="15" hidden="false" customHeight="false" outlineLevel="0" collapsed="false">
      <c r="A15" s="37" t="s">
        <v>141</v>
      </c>
      <c r="B15" s="38" t="s">
        <v>142</v>
      </c>
      <c r="C15" s="37" t="s">
        <v>143</v>
      </c>
      <c r="D15" s="37" t="s">
        <v>51</v>
      </c>
      <c r="E15" s="37" t="s">
        <v>128</v>
      </c>
      <c r="F15" s="37" t="s">
        <v>29</v>
      </c>
      <c r="G15" s="37" t="s">
        <v>144</v>
      </c>
      <c r="H15" s="38" t="s">
        <v>145</v>
      </c>
      <c r="I15" s="38" t="s">
        <v>146</v>
      </c>
      <c r="J15" s="38" t="s">
        <v>147</v>
      </c>
      <c r="K15" s="37" t="s">
        <v>133</v>
      </c>
      <c r="L15" s="21" t="s">
        <v>58</v>
      </c>
    </row>
    <row r="16" customFormat="false" ht="15" hidden="false" customHeight="false" outlineLevel="0" collapsed="false">
      <c r="A16" s="39" t="s">
        <v>148</v>
      </c>
      <c r="B16" s="40" t="s">
        <v>149</v>
      </c>
      <c r="C16" s="39" t="s">
        <v>150</v>
      </c>
      <c r="D16" s="39" t="s">
        <v>62</v>
      </c>
      <c r="E16" s="39" t="s">
        <v>128</v>
      </c>
      <c r="F16" s="39" t="s">
        <v>29</v>
      </c>
      <c r="G16" s="39" t="s">
        <v>151</v>
      </c>
      <c r="H16" s="40" t="s">
        <v>152</v>
      </c>
      <c r="I16" s="40" t="s">
        <v>153</v>
      </c>
      <c r="J16" s="40" t="s">
        <v>154</v>
      </c>
      <c r="K16" s="39" t="s">
        <v>133</v>
      </c>
      <c r="L16" s="21" t="s">
        <v>58</v>
      </c>
    </row>
    <row r="17" customFormat="false" ht="15" hidden="false" customHeight="false" outlineLevel="0" collapsed="false">
      <c r="A17" s="37" t="s">
        <v>155</v>
      </c>
      <c r="B17" s="38" t="s">
        <v>156</v>
      </c>
      <c r="C17" s="37" t="s">
        <v>157</v>
      </c>
      <c r="D17" s="37" t="s">
        <v>51</v>
      </c>
      <c r="E17" s="37" t="s">
        <v>128</v>
      </c>
      <c r="F17" s="37" t="s">
        <v>31</v>
      </c>
      <c r="G17" s="37" t="s">
        <v>158</v>
      </c>
      <c r="H17" s="38" t="s">
        <v>159</v>
      </c>
      <c r="I17" s="38" t="s">
        <v>160</v>
      </c>
      <c r="J17" s="38" t="s">
        <v>161</v>
      </c>
      <c r="K17" s="37" t="s">
        <v>133</v>
      </c>
      <c r="L17" s="21" t="s">
        <v>58</v>
      </c>
    </row>
    <row r="18" customFormat="false" ht="15" hidden="false" customHeight="false" outlineLevel="0" collapsed="false">
      <c r="A18" s="39" t="s">
        <v>162</v>
      </c>
      <c r="B18" s="40" t="s">
        <v>163</v>
      </c>
      <c r="C18" s="39" t="s">
        <v>164</v>
      </c>
      <c r="D18" s="39" t="s">
        <v>62</v>
      </c>
      <c r="E18" s="39" t="s">
        <v>128</v>
      </c>
      <c r="F18" s="39" t="s">
        <v>31</v>
      </c>
      <c r="G18" s="39" t="s">
        <v>165</v>
      </c>
      <c r="H18" s="40" t="s">
        <v>166</v>
      </c>
      <c r="I18" s="40" t="s">
        <v>167</v>
      </c>
      <c r="J18" s="40" t="s">
        <v>168</v>
      </c>
      <c r="K18" s="39" t="s">
        <v>133</v>
      </c>
      <c r="L18" s="21" t="s">
        <v>58</v>
      </c>
    </row>
    <row r="19" customFormat="false" ht="15" hidden="false" customHeight="false" outlineLevel="0" collapsed="false">
      <c r="A19" s="37" t="s">
        <v>169</v>
      </c>
      <c r="B19" s="38" t="s">
        <v>170</v>
      </c>
      <c r="C19" s="37" t="s">
        <v>171</v>
      </c>
      <c r="D19" s="37" t="s">
        <v>51</v>
      </c>
      <c r="E19" s="37" t="s">
        <v>172</v>
      </c>
      <c r="F19" s="37" t="s">
        <v>23</v>
      </c>
      <c r="G19" s="37" t="s">
        <v>173</v>
      </c>
      <c r="H19" s="38" t="s">
        <v>174</v>
      </c>
      <c r="I19" s="38" t="s">
        <v>175</v>
      </c>
      <c r="J19" s="38" t="s">
        <v>176</v>
      </c>
      <c r="K19" s="37" t="s">
        <v>177</v>
      </c>
      <c r="L19" s="21" t="s">
        <v>58</v>
      </c>
    </row>
    <row r="20" customFormat="false" ht="15" hidden="false" customHeight="false" outlineLevel="0" collapsed="false">
      <c r="A20" s="39" t="s">
        <v>178</v>
      </c>
      <c r="B20" s="40" t="s">
        <v>179</v>
      </c>
      <c r="C20" s="39" t="s">
        <v>180</v>
      </c>
      <c r="D20" s="39" t="s">
        <v>62</v>
      </c>
      <c r="E20" s="39" t="s">
        <v>172</v>
      </c>
      <c r="F20" s="39" t="s">
        <v>23</v>
      </c>
      <c r="G20" s="39" t="s">
        <v>181</v>
      </c>
      <c r="H20" s="40" t="s">
        <v>182</v>
      </c>
      <c r="I20" s="40" t="s">
        <v>183</v>
      </c>
      <c r="J20" s="40" t="s">
        <v>184</v>
      </c>
      <c r="K20" s="39" t="s">
        <v>177</v>
      </c>
      <c r="L20" s="21" t="s">
        <v>58</v>
      </c>
    </row>
    <row r="21" customFormat="false" ht="15" hidden="false" customHeight="false" outlineLevel="0" collapsed="false">
      <c r="A21" s="37" t="s">
        <v>185</v>
      </c>
      <c r="B21" s="38" t="s">
        <v>186</v>
      </c>
      <c r="C21" s="37" t="s">
        <v>187</v>
      </c>
      <c r="D21" s="37" t="s">
        <v>51</v>
      </c>
      <c r="E21" s="37" t="s">
        <v>172</v>
      </c>
      <c r="F21" s="37" t="s">
        <v>29</v>
      </c>
      <c r="G21" s="37" t="s">
        <v>188</v>
      </c>
      <c r="H21" s="38" t="s">
        <v>189</v>
      </c>
      <c r="I21" s="38" t="s">
        <v>190</v>
      </c>
      <c r="J21" s="38" t="s">
        <v>191</v>
      </c>
      <c r="K21" s="37" t="s">
        <v>177</v>
      </c>
      <c r="L21" s="21" t="s">
        <v>58</v>
      </c>
    </row>
    <row r="22" customFormat="false" ht="15" hidden="false" customHeight="false" outlineLevel="0" collapsed="false">
      <c r="A22" s="39" t="s">
        <v>192</v>
      </c>
      <c r="B22" s="40" t="s">
        <v>193</v>
      </c>
      <c r="C22" s="39" t="s">
        <v>194</v>
      </c>
      <c r="D22" s="39" t="s">
        <v>62</v>
      </c>
      <c r="E22" s="39" t="s">
        <v>172</v>
      </c>
      <c r="F22" s="39" t="s">
        <v>29</v>
      </c>
      <c r="G22" s="39" t="s">
        <v>195</v>
      </c>
      <c r="H22" s="40" t="s">
        <v>196</v>
      </c>
      <c r="I22" s="40" t="s">
        <v>197</v>
      </c>
      <c r="J22" s="40" t="s">
        <v>198</v>
      </c>
      <c r="K22" s="39" t="s">
        <v>177</v>
      </c>
      <c r="L22" s="33" t="s">
        <v>199</v>
      </c>
    </row>
  </sheetData>
  <mergeCells count="1">
    <mergeCell ref="A1:S1"/>
  </mergeCells>
  <dataValidations count="2">
    <dataValidation allowBlank="false" errorStyle="stop" operator="between" showDropDown="false" showErrorMessage="false" showInputMessage="false" sqref="D3:D1000" type="list">
      <formula1>"Male,Female,Other"</formula1>
      <formula2>0</formula2>
    </dataValidation>
    <dataValidation allowBlank="false" errorStyle="stop" operator="between" showDropDown="false" showErrorMessage="false" showInputMessage="false" sqref="L3:L1000" type="list">
      <formula1>"Active,Inactive,Transferred,Graduated"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10" min="3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8"/>
  </cols>
  <sheetData>
    <row r="1" customFormat="false" ht="36" hidden="false" customHeight="true" outlineLevel="0" collapsed="false">
      <c r="A1" s="41" t="s">
        <v>200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</row>
    <row r="2" customFormat="false" ht="39.75" hidden="false" customHeight="true" outlineLevel="0" collapsed="false">
      <c r="A2" s="20" t="s">
        <v>36</v>
      </c>
      <c r="B2" s="20" t="s">
        <v>201</v>
      </c>
      <c r="C2" s="20" t="s">
        <v>202</v>
      </c>
      <c r="D2" s="20" t="s">
        <v>203</v>
      </c>
      <c r="E2" s="20" t="s">
        <v>204</v>
      </c>
      <c r="F2" s="20" t="s">
        <v>205</v>
      </c>
      <c r="G2" s="20" t="s">
        <v>206</v>
      </c>
      <c r="H2" s="20" t="s">
        <v>207</v>
      </c>
      <c r="I2" s="20" t="s">
        <v>208</v>
      </c>
      <c r="J2" s="20" t="s">
        <v>209</v>
      </c>
      <c r="K2" s="20" t="s">
        <v>210</v>
      </c>
      <c r="L2" s="20" t="s">
        <v>211</v>
      </c>
      <c r="M2" s="20" t="s">
        <v>11</v>
      </c>
      <c r="N2" s="20" t="s">
        <v>212</v>
      </c>
    </row>
    <row r="3" customFormat="false" ht="15" hidden="false" customHeight="false" outlineLevel="0" collapsed="false">
      <c r="A3" s="37" t="s">
        <v>48</v>
      </c>
      <c r="B3" s="38" t="s">
        <v>49</v>
      </c>
      <c r="C3" s="42" t="n">
        <v>95</v>
      </c>
      <c r="D3" s="43" t="n">
        <v>62</v>
      </c>
      <c r="E3" s="44" t="n">
        <v>56</v>
      </c>
      <c r="F3" s="43" t="n">
        <v>72</v>
      </c>
      <c r="G3" s="43" t="n">
        <v>70</v>
      </c>
      <c r="H3" s="43" t="n">
        <v>69</v>
      </c>
      <c r="I3" s="43" t="n">
        <v>63</v>
      </c>
      <c r="J3" s="43" t="n">
        <v>61</v>
      </c>
      <c r="K3" s="45" t="n">
        <f aca="false">SUM(C3:J3)</f>
        <v>548</v>
      </c>
      <c r="L3" s="46" t="n">
        <f aca="false">K3/800*100</f>
        <v>68.5</v>
      </c>
      <c r="M3" s="23" t="str">
        <f aca="false">IF(L3&gt;=90,"A+",IF(L3&gt;=80,"A",IF(L3&gt;=70,"B+",IF(L3&gt;=60,"B",IF(L3&gt;=50,"C","F")))))</f>
        <v>B</v>
      </c>
      <c r="N3" s="45" t="n">
        <f aca="false">RANK(L3,L$3:L$22,0)</f>
        <v>20</v>
      </c>
    </row>
    <row r="4" customFormat="false" ht="15" hidden="false" customHeight="false" outlineLevel="0" collapsed="false">
      <c r="A4" s="39" t="s">
        <v>59</v>
      </c>
      <c r="B4" s="40" t="s">
        <v>60</v>
      </c>
      <c r="C4" s="42" t="n">
        <v>98</v>
      </c>
      <c r="D4" s="47" t="n">
        <v>89</v>
      </c>
      <c r="E4" s="47" t="n">
        <v>60</v>
      </c>
      <c r="F4" s="42" t="n">
        <v>92</v>
      </c>
      <c r="G4" s="47" t="n">
        <v>82</v>
      </c>
      <c r="H4" s="44" t="n">
        <v>57</v>
      </c>
      <c r="I4" s="44" t="n">
        <v>56</v>
      </c>
      <c r="J4" s="47" t="n">
        <v>60</v>
      </c>
      <c r="K4" s="45" t="n">
        <f aca="false">SUM(C4:J4)</f>
        <v>594</v>
      </c>
      <c r="L4" s="46" t="n">
        <f aca="false">K4/800*100</f>
        <v>74.25</v>
      </c>
      <c r="M4" s="23" t="str">
        <f aca="false">IF(L4&gt;=90,"A+",IF(L4&gt;=80,"A",IF(L4&gt;=70,"B+",IF(L4&gt;=60,"B",IF(L4&gt;=50,"C","F")))))</f>
        <v>B+</v>
      </c>
      <c r="N4" s="45" t="n">
        <f aca="false">RANK(L4,L$3:L$22,0)</f>
        <v>15</v>
      </c>
    </row>
    <row r="5" customFormat="false" ht="15" hidden="false" customHeight="false" outlineLevel="0" collapsed="false">
      <c r="A5" s="37" t="s">
        <v>67</v>
      </c>
      <c r="B5" s="38" t="s">
        <v>68</v>
      </c>
      <c r="C5" s="43" t="n">
        <v>68</v>
      </c>
      <c r="D5" s="43" t="n">
        <v>69</v>
      </c>
      <c r="E5" s="43" t="n">
        <v>87</v>
      </c>
      <c r="F5" s="42" t="n">
        <v>93</v>
      </c>
      <c r="G5" s="44" t="n">
        <v>56</v>
      </c>
      <c r="H5" s="42" t="n">
        <v>90</v>
      </c>
      <c r="I5" s="43" t="n">
        <v>67</v>
      </c>
      <c r="J5" s="42" t="n">
        <v>96</v>
      </c>
      <c r="K5" s="45" t="n">
        <f aca="false">SUM(C5:J5)</f>
        <v>626</v>
      </c>
      <c r="L5" s="46" t="n">
        <f aca="false">K5/800*100</f>
        <v>78.25</v>
      </c>
      <c r="M5" s="23" t="str">
        <f aca="false">IF(L5&gt;=90,"A+",IF(L5&gt;=80,"A",IF(L5&gt;=70,"B+",IF(L5&gt;=60,"B",IF(L5&gt;=50,"C","F")))))</f>
        <v>B+</v>
      </c>
      <c r="N5" s="45" t="n">
        <f aca="false">RANK(L5,L$3:L$22,0)</f>
        <v>8</v>
      </c>
    </row>
    <row r="6" customFormat="false" ht="15" hidden="false" customHeight="false" outlineLevel="0" collapsed="false">
      <c r="A6" s="39" t="s">
        <v>75</v>
      </c>
      <c r="B6" s="40" t="s">
        <v>76</v>
      </c>
      <c r="C6" s="47" t="n">
        <v>89</v>
      </c>
      <c r="D6" s="47" t="n">
        <v>81</v>
      </c>
      <c r="E6" s="47" t="n">
        <v>69</v>
      </c>
      <c r="F6" s="47" t="n">
        <v>83</v>
      </c>
      <c r="G6" s="42" t="n">
        <v>92</v>
      </c>
      <c r="H6" s="47" t="n">
        <v>72</v>
      </c>
      <c r="I6" s="44" t="n">
        <v>55</v>
      </c>
      <c r="J6" s="47" t="n">
        <v>65</v>
      </c>
      <c r="K6" s="45" t="n">
        <f aca="false">SUM(C6:J6)</f>
        <v>606</v>
      </c>
      <c r="L6" s="46" t="n">
        <f aca="false">K6/800*100</f>
        <v>75.75</v>
      </c>
      <c r="M6" s="23" t="str">
        <f aca="false">IF(L6&gt;=90,"A+",IF(L6&gt;=80,"A",IF(L6&gt;=70,"B+",IF(L6&gt;=60,"B",IF(L6&gt;=50,"C","F")))))</f>
        <v>B+</v>
      </c>
      <c r="N6" s="45" t="n">
        <f aca="false">RANK(L6,L$3:L$22,0)</f>
        <v>12</v>
      </c>
    </row>
    <row r="7" customFormat="false" ht="15" hidden="false" customHeight="false" outlineLevel="0" collapsed="false">
      <c r="A7" s="37" t="s">
        <v>82</v>
      </c>
      <c r="B7" s="38" t="s">
        <v>83</v>
      </c>
      <c r="C7" s="43" t="n">
        <v>82</v>
      </c>
      <c r="D7" s="43" t="n">
        <v>76</v>
      </c>
      <c r="E7" s="43" t="n">
        <v>72</v>
      </c>
      <c r="F7" s="43" t="n">
        <v>64</v>
      </c>
      <c r="G7" s="43" t="n">
        <v>68</v>
      </c>
      <c r="H7" s="43" t="n">
        <v>76</v>
      </c>
      <c r="I7" s="43" t="n">
        <v>61</v>
      </c>
      <c r="J7" s="43" t="n">
        <v>60</v>
      </c>
      <c r="K7" s="45" t="n">
        <f aca="false">SUM(C7:J7)</f>
        <v>559</v>
      </c>
      <c r="L7" s="46" t="n">
        <f aca="false">K7/800*100</f>
        <v>69.875</v>
      </c>
      <c r="M7" s="23" t="str">
        <f aca="false">IF(L7&gt;=90,"A+",IF(L7&gt;=80,"A",IF(L7&gt;=70,"B+",IF(L7&gt;=60,"B",IF(L7&gt;=50,"C","F")))))</f>
        <v>B</v>
      </c>
      <c r="N7" s="45" t="n">
        <f aca="false">RANK(L7,L$3:L$22,0)</f>
        <v>19</v>
      </c>
    </row>
    <row r="8" customFormat="false" ht="15" hidden="false" customHeight="false" outlineLevel="0" collapsed="false">
      <c r="A8" s="39" t="s">
        <v>89</v>
      </c>
      <c r="B8" s="40" t="s">
        <v>90</v>
      </c>
      <c r="C8" s="47" t="n">
        <v>79</v>
      </c>
      <c r="D8" s="47" t="n">
        <v>61</v>
      </c>
      <c r="E8" s="47" t="n">
        <v>77</v>
      </c>
      <c r="F8" s="47" t="n">
        <v>77</v>
      </c>
      <c r="G8" s="42" t="n">
        <v>93</v>
      </c>
      <c r="H8" s="47" t="n">
        <v>71</v>
      </c>
      <c r="I8" s="44" t="n">
        <v>57</v>
      </c>
      <c r="J8" s="47" t="n">
        <v>84</v>
      </c>
      <c r="K8" s="45" t="n">
        <f aca="false">SUM(C8:J8)</f>
        <v>599</v>
      </c>
      <c r="L8" s="46" t="n">
        <f aca="false">K8/800*100</f>
        <v>74.875</v>
      </c>
      <c r="M8" s="23" t="str">
        <f aca="false">IF(L8&gt;=90,"A+",IF(L8&gt;=80,"A",IF(L8&gt;=70,"B+",IF(L8&gt;=60,"B",IF(L8&gt;=50,"C","F")))))</f>
        <v>B+</v>
      </c>
      <c r="N8" s="45" t="n">
        <f aca="false">RANK(L8,L$3:L$22,0)</f>
        <v>13</v>
      </c>
    </row>
    <row r="9" customFormat="false" ht="15" hidden="false" customHeight="false" outlineLevel="0" collapsed="false">
      <c r="A9" s="37" t="s">
        <v>96</v>
      </c>
      <c r="B9" s="38" t="s">
        <v>97</v>
      </c>
      <c r="C9" s="43" t="n">
        <v>89</v>
      </c>
      <c r="D9" s="43" t="n">
        <v>62</v>
      </c>
      <c r="E9" s="43" t="n">
        <v>79</v>
      </c>
      <c r="F9" s="43" t="n">
        <v>60</v>
      </c>
      <c r="G9" s="42" t="n">
        <v>90</v>
      </c>
      <c r="H9" s="43" t="n">
        <v>73</v>
      </c>
      <c r="I9" s="42" t="n">
        <v>95</v>
      </c>
      <c r="J9" s="42" t="n">
        <v>94</v>
      </c>
      <c r="K9" s="45" t="n">
        <f aca="false">SUM(C9:J9)</f>
        <v>642</v>
      </c>
      <c r="L9" s="46" t="n">
        <f aca="false">K9/800*100</f>
        <v>80.25</v>
      </c>
      <c r="M9" s="23" t="str">
        <f aca="false">IF(L9&gt;=90,"A+",IF(L9&gt;=80,"A",IF(L9&gt;=70,"B+",IF(L9&gt;=60,"B",IF(L9&gt;=50,"C","F")))))</f>
        <v>A</v>
      </c>
      <c r="N9" s="45" t="n">
        <f aca="false">RANK(L9,L$3:L$22,0)</f>
        <v>5</v>
      </c>
    </row>
    <row r="10" customFormat="false" ht="15" hidden="false" customHeight="false" outlineLevel="0" collapsed="false">
      <c r="A10" s="39" t="s">
        <v>104</v>
      </c>
      <c r="B10" s="40" t="s">
        <v>105</v>
      </c>
      <c r="C10" s="47" t="n">
        <v>78</v>
      </c>
      <c r="D10" s="42" t="n">
        <v>91</v>
      </c>
      <c r="E10" s="47" t="n">
        <v>67</v>
      </c>
      <c r="F10" s="44" t="n">
        <v>59</v>
      </c>
      <c r="G10" s="44" t="n">
        <v>57</v>
      </c>
      <c r="H10" s="42" t="n">
        <v>97</v>
      </c>
      <c r="I10" s="47" t="n">
        <v>69</v>
      </c>
      <c r="J10" s="47" t="n">
        <v>73</v>
      </c>
      <c r="K10" s="45" t="n">
        <f aca="false">SUM(C10:J10)</f>
        <v>591</v>
      </c>
      <c r="L10" s="46" t="n">
        <f aca="false">K10/800*100</f>
        <v>73.875</v>
      </c>
      <c r="M10" s="23" t="str">
        <f aca="false">IF(L10&gt;=90,"A+",IF(L10&gt;=80,"A",IF(L10&gt;=70,"B+",IF(L10&gt;=60,"B",IF(L10&gt;=50,"C","F")))))</f>
        <v>B+</v>
      </c>
      <c r="N10" s="45" t="n">
        <f aca="false">RANK(L10,L$3:L$22,0)</f>
        <v>16</v>
      </c>
    </row>
    <row r="11" customFormat="false" ht="15" hidden="false" customHeight="false" outlineLevel="0" collapsed="false">
      <c r="A11" s="37" t="s">
        <v>111</v>
      </c>
      <c r="B11" s="38" t="s">
        <v>112</v>
      </c>
      <c r="C11" s="43" t="n">
        <v>60</v>
      </c>
      <c r="D11" s="43" t="n">
        <v>69</v>
      </c>
      <c r="E11" s="43" t="n">
        <v>61</v>
      </c>
      <c r="F11" s="43" t="n">
        <v>79</v>
      </c>
      <c r="G11" s="43" t="n">
        <v>72</v>
      </c>
      <c r="H11" s="43" t="n">
        <v>84</v>
      </c>
      <c r="I11" s="42" t="n">
        <v>95</v>
      </c>
      <c r="J11" s="43" t="n">
        <v>78</v>
      </c>
      <c r="K11" s="45" t="n">
        <f aca="false">SUM(C11:J11)</f>
        <v>598</v>
      </c>
      <c r="L11" s="46" t="n">
        <f aca="false">K11/800*100</f>
        <v>74.75</v>
      </c>
      <c r="M11" s="23" t="str">
        <f aca="false">IF(L11&gt;=90,"A+",IF(L11&gt;=80,"A",IF(L11&gt;=70,"B+",IF(L11&gt;=60,"B",IF(L11&gt;=50,"C","F")))))</f>
        <v>B+</v>
      </c>
      <c r="N11" s="45" t="n">
        <f aca="false">RANK(L11,L$3:L$22,0)</f>
        <v>14</v>
      </c>
    </row>
    <row r="12" customFormat="false" ht="15" hidden="false" customHeight="false" outlineLevel="0" collapsed="false">
      <c r="A12" s="39" t="s">
        <v>118</v>
      </c>
      <c r="B12" s="40" t="s">
        <v>119</v>
      </c>
      <c r="C12" s="47" t="n">
        <v>65</v>
      </c>
      <c r="D12" s="47" t="n">
        <v>78</v>
      </c>
      <c r="E12" s="47" t="n">
        <v>77</v>
      </c>
      <c r="F12" s="47" t="n">
        <v>68</v>
      </c>
      <c r="G12" s="42" t="n">
        <v>97</v>
      </c>
      <c r="H12" s="47" t="n">
        <v>72</v>
      </c>
      <c r="I12" s="42" t="n">
        <v>98</v>
      </c>
      <c r="J12" s="42" t="n">
        <v>96</v>
      </c>
      <c r="K12" s="45" t="n">
        <f aca="false">SUM(C12:J12)</f>
        <v>651</v>
      </c>
      <c r="L12" s="46" t="n">
        <f aca="false">K12/800*100</f>
        <v>81.375</v>
      </c>
      <c r="M12" s="23" t="str">
        <f aca="false">IF(L12&gt;=90,"A+",IF(L12&gt;=80,"A",IF(L12&gt;=70,"B+",IF(L12&gt;=60,"B",IF(L12&gt;=50,"C","F")))))</f>
        <v>A</v>
      </c>
      <c r="N12" s="45" t="n">
        <f aca="false">RANK(L12,L$3:L$22,0)</f>
        <v>1</v>
      </c>
    </row>
    <row r="13" customFormat="false" ht="15" hidden="false" customHeight="false" outlineLevel="0" collapsed="false">
      <c r="A13" s="37" t="s">
        <v>125</v>
      </c>
      <c r="B13" s="38" t="s">
        <v>126</v>
      </c>
      <c r="C13" s="44" t="n">
        <v>59</v>
      </c>
      <c r="D13" s="42" t="n">
        <v>93</v>
      </c>
      <c r="E13" s="42" t="n">
        <v>95</v>
      </c>
      <c r="F13" s="43" t="n">
        <v>65</v>
      </c>
      <c r="G13" s="43" t="n">
        <v>89</v>
      </c>
      <c r="H13" s="43" t="n">
        <v>70</v>
      </c>
      <c r="I13" s="43" t="n">
        <v>65</v>
      </c>
      <c r="J13" s="43" t="n">
        <v>84</v>
      </c>
      <c r="K13" s="45" t="n">
        <f aca="false">SUM(C13:J13)</f>
        <v>620</v>
      </c>
      <c r="L13" s="46" t="n">
        <f aca="false">K13/800*100</f>
        <v>77.5</v>
      </c>
      <c r="M13" s="23" t="str">
        <f aca="false">IF(L13&gt;=90,"A+",IF(L13&gt;=80,"A",IF(L13&gt;=70,"B+",IF(L13&gt;=60,"B",IF(L13&gt;=50,"C","F")))))</f>
        <v>B+</v>
      </c>
      <c r="N13" s="45" t="n">
        <f aca="false">RANK(L13,L$3:L$22,0)</f>
        <v>9</v>
      </c>
    </row>
    <row r="14" customFormat="false" ht="15" hidden="false" customHeight="false" outlineLevel="0" collapsed="false">
      <c r="A14" s="39" t="s">
        <v>134</v>
      </c>
      <c r="B14" s="40" t="s">
        <v>135</v>
      </c>
      <c r="C14" s="47" t="n">
        <v>79</v>
      </c>
      <c r="D14" s="47" t="n">
        <v>72</v>
      </c>
      <c r="E14" s="42" t="n">
        <v>95</v>
      </c>
      <c r="F14" s="42" t="n">
        <v>90</v>
      </c>
      <c r="G14" s="47" t="n">
        <v>69</v>
      </c>
      <c r="H14" s="42" t="n">
        <v>98</v>
      </c>
      <c r="I14" s="47" t="n">
        <v>75</v>
      </c>
      <c r="J14" s="44" t="n">
        <v>58</v>
      </c>
      <c r="K14" s="45" t="n">
        <f aca="false">SUM(C14:J14)</f>
        <v>636</v>
      </c>
      <c r="L14" s="46" t="n">
        <f aca="false">K14/800*100</f>
        <v>79.5</v>
      </c>
      <c r="M14" s="23" t="str">
        <f aca="false">IF(L14&gt;=90,"A+",IF(L14&gt;=80,"A",IF(L14&gt;=70,"B+",IF(L14&gt;=60,"B",IF(L14&gt;=50,"C","F")))))</f>
        <v>B+</v>
      </c>
      <c r="N14" s="45" t="n">
        <f aca="false">RANK(L14,L$3:L$22,0)</f>
        <v>6</v>
      </c>
    </row>
    <row r="15" customFormat="false" ht="15" hidden="false" customHeight="false" outlineLevel="0" collapsed="false">
      <c r="A15" s="37" t="s">
        <v>141</v>
      </c>
      <c r="B15" s="38" t="s">
        <v>142</v>
      </c>
      <c r="C15" s="43" t="n">
        <v>69</v>
      </c>
      <c r="D15" s="44" t="n">
        <v>57</v>
      </c>
      <c r="E15" s="43" t="n">
        <v>75</v>
      </c>
      <c r="F15" s="43" t="n">
        <v>80</v>
      </c>
      <c r="G15" s="43" t="n">
        <v>72</v>
      </c>
      <c r="H15" s="44" t="n">
        <v>59</v>
      </c>
      <c r="I15" s="43" t="n">
        <v>68</v>
      </c>
      <c r="J15" s="42" t="n">
        <v>91</v>
      </c>
      <c r="K15" s="45" t="n">
        <f aca="false">SUM(C15:J15)</f>
        <v>571</v>
      </c>
      <c r="L15" s="46" t="n">
        <f aca="false">K15/800*100</f>
        <v>71.375</v>
      </c>
      <c r="M15" s="23" t="str">
        <f aca="false">IF(L15&gt;=90,"A+",IF(L15&gt;=80,"A",IF(L15&gt;=70,"B+",IF(L15&gt;=60,"B",IF(L15&gt;=50,"C","F")))))</f>
        <v>B+</v>
      </c>
      <c r="N15" s="45" t="n">
        <f aca="false">RANK(L15,L$3:L$22,0)</f>
        <v>18</v>
      </c>
    </row>
    <row r="16" customFormat="false" ht="15" hidden="false" customHeight="false" outlineLevel="0" collapsed="false">
      <c r="A16" s="39" t="s">
        <v>148</v>
      </c>
      <c r="B16" s="40" t="s">
        <v>149</v>
      </c>
      <c r="C16" s="47" t="n">
        <v>75</v>
      </c>
      <c r="D16" s="47" t="n">
        <v>68</v>
      </c>
      <c r="E16" s="42" t="n">
        <v>96</v>
      </c>
      <c r="F16" s="47" t="n">
        <v>86</v>
      </c>
      <c r="G16" s="47" t="n">
        <v>80</v>
      </c>
      <c r="H16" s="42" t="n">
        <v>96</v>
      </c>
      <c r="I16" s="47" t="n">
        <v>84</v>
      </c>
      <c r="J16" s="47" t="n">
        <v>64</v>
      </c>
      <c r="K16" s="45" t="n">
        <f aca="false">SUM(C16:J16)</f>
        <v>649</v>
      </c>
      <c r="L16" s="46" t="n">
        <f aca="false">K16/800*100</f>
        <v>81.125</v>
      </c>
      <c r="M16" s="23" t="str">
        <f aca="false">IF(L16&gt;=90,"A+",IF(L16&gt;=80,"A",IF(L16&gt;=70,"B+",IF(L16&gt;=60,"B",IF(L16&gt;=50,"C","F")))))</f>
        <v>A</v>
      </c>
      <c r="N16" s="45" t="n">
        <f aca="false">RANK(L16,L$3:L$22,0)</f>
        <v>2</v>
      </c>
    </row>
    <row r="17" customFormat="false" ht="15" hidden="false" customHeight="false" outlineLevel="0" collapsed="false">
      <c r="A17" s="37" t="s">
        <v>155</v>
      </c>
      <c r="B17" s="38" t="s">
        <v>156</v>
      </c>
      <c r="C17" s="43" t="n">
        <v>71</v>
      </c>
      <c r="D17" s="43" t="n">
        <v>63</v>
      </c>
      <c r="E17" s="43" t="n">
        <v>70</v>
      </c>
      <c r="F17" s="42" t="n">
        <v>90</v>
      </c>
      <c r="G17" s="43" t="n">
        <v>89</v>
      </c>
      <c r="H17" s="43" t="n">
        <v>71</v>
      </c>
      <c r="I17" s="42" t="n">
        <v>92</v>
      </c>
      <c r="J17" s="43" t="n">
        <v>82</v>
      </c>
      <c r="K17" s="45" t="n">
        <f aca="false">SUM(C17:J17)</f>
        <v>628</v>
      </c>
      <c r="L17" s="46" t="n">
        <f aca="false">K17/800*100</f>
        <v>78.5</v>
      </c>
      <c r="M17" s="23" t="str">
        <f aca="false">IF(L17&gt;=90,"A+",IF(L17&gt;=80,"A",IF(L17&gt;=70,"B+",IF(L17&gt;=60,"B",IF(L17&gt;=50,"C","F")))))</f>
        <v>B+</v>
      </c>
      <c r="N17" s="45" t="n">
        <f aca="false">RANK(L17,L$3:L$22,0)</f>
        <v>7</v>
      </c>
    </row>
    <row r="18" customFormat="false" ht="15" hidden="false" customHeight="false" outlineLevel="0" collapsed="false">
      <c r="A18" s="39" t="s">
        <v>162</v>
      </c>
      <c r="B18" s="40" t="s">
        <v>163</v>
      </c>
      <c r="C18" s="42" t="n">
        <v>92</v>
      </c>
      <c r="D18" s="47" t="n">
        <v>80</v>
      </c>
      <c r="E18" s="47" t="n">
        <v>78</v>
      </c>
      <c r="F18" s="47" t="n">
        <v>69</v>
      </c>
      <c r="G18" s="47" t="n">
        <v>63</v>
      </c>
      <c r="H18" s="47" t="n">
        <v>87</v>
      </c>
      <c r="I18" s="47" t="n">
        <v>86</v>
      </c>
      <c r="J18" s="47" t="n">
        <v>60</v>
      </c>
      <c r="K18" s="45" t="n">
        <f aca="false">SUM(C18:J18)</f>
        <v>615</v>
      </c>
      <c r="L18" s="46" t="n">
        <f aca="false">K18/800*100</f>
        <v>76.875</v>
      </c>
      <c r="M18" s="23" t="str">
        <f aca="false">IF(L18&gt;=90,"A+",IF(L18&gt;=80,"A",IF(L18&gt;=70,"B+",IF(L18&gt;=60,"B",IF(L18&gt;=50,"C","F")))))</f>
        <v>B+</v>
      </c>
      <c r="N18" s="45" t="n">
        <f aca="false">RANK(L18,L$3:L$22,0)</f>
        <v>11</v>
      </c>
    </row>
    <row r="19" customFormat="false" ht="15" hidden="false" customHeight="false" outlineLevel="0" collapsed="false">
      <c r="A19" s="37" t="s">
        <v>169</v>
      </c>
      <c r="B19" s="38" t="s">
        <v>170</v>
      </c>
      <c r="C19" s="44" t="n">
        <v>58</v>
      </c>
      <c r="D19" s="43" t="n">
        <v>62</v>
      </c>
      <c r="E19" s="43" t="n">
        <v>64</v>
      </c>
      <c r="F19" s="42" t="n">
        <v>95</v>
      </c>
      <c r="G19" s="43" t="n">
        <v>65</v>
      </c>
      <c r="H19" s="42" t="n">
        <v>98</v>
      </c>
      <c r="I19" s="43" t="n">
        <v>82</v>
      </c>
      <c r="J19" s="42" t="n">
        <v>93</v>
      </c>
      <c r="K19" s="45" t="n">
        <f aca="false">SUM(C19:J19)</f>
        <v>617</v>
      </c>
      <c r="L19" s="46" t="n">
        <f aca="false">K19/800*100</f>
        <v>77.125</v>
      </c>
      <c r="M19" s="23" t="str">
        <f aca="false">IF(L19&gt;=90,"A+",IF(L19&gt;=80,"A",IF(L19&gt;=70,"B+",IF(L19&gt;=60,"B",IF(L19&gt;=50,"C","F")))))</f>
        <v>B+</v>
      </c>
      <c r="N19" s="45" t="n">
        <f aca="false">RANK(L19,L$3:L$22,0)</f>
        <v>10</v>
      </c>
    </row>
    <row r="20" customFormat="false" ht="15" hidden="false" customHeight="false" outlineLevel="0" collapsed="false">
      <c r="A20" s="39" t="s">
        <v>178</v>
      </c>
      <c r="B20" s="40" t="s">
        <v>179</v>
      </c>
      <c r="C20" s="44" t="n">
        <v>59</v>
      </c>
      <c r="D20" s="47" t="n">
        <v>79</v>
      </c>
      <c r="E20" s="47" t="n">
        <v>79</v>
      </c>
      <c r="F20" s="42" t="n">
        <v>93</v>
      </c>
      <c r="G20" s="47" t="n">
        <v>84</v>
      </c>
      <c r="H20" s="47" t="n">
        <v>88</v>
      </c>
      <c r="I20" s="47" t="n">
        <v>71</v>
      </c>
      <c r="J20" s="42" t="n">
        <v>90</v>
      </c>
      <c r="K20" s="45" t="n">
        <f aca="false">SUM(C20:J20)</f>
        <v>643</v>
      </c>
      <c r="L20" s="46" t="n">
        <f aca="false">K20/800*100</f>
        <v>80.375</v>
      </c>
      <c r="M20" s="23" t="str">
        <f aca="false">IF(L20&gt;=90,"A+",IF(L20&gt;=80,"A",IF(L20&gt;=70,"B+",IF(L20&gt;=60,"B",IF(L20&gt;=50,"C","F")))))</f>
        <v>A</v>
      </c>
      <c r="N20" s="45" t="n">
        <f aca="false">RANK(L20,L$3:L$22,0)</f>
        <v>4</v>
      </c>
    </row>
    <row r="21" customFormat="false" ht="15" hidden="false" customHeight="false" outlineLevel="0" collapsed="false">
      <c r="A21" s="37" t="s">
        <v>185</v>
      </c>
      <c r="B21" s="38" t="s">
        <v>186</v>
      </c>
      <c r="C21" s="44" t="n">
        <v>55</v>
      </c>
      <c r="D21" s="42" t="n">
        <v>98</v>
      </c>
      <c r="E21" s="43" t="n">
        <v>62</v>
      </c>
      <c r="F21" s="42" t="n">
        <v>98</v>
      </c>
      <c r="G21" s="43" t="n">
        <v>89</v>
      </c>
      <c r="H21" s="43" t="n">
        <v>72</v>
      </c>
      <c r="I21" s="42" t="n">
        <v>96</v>
      </c>
      <c r="J21" s="43" t="n">
        <v>76</v>
      </c>
      <c r="K21" s="45" t="n">
        <f aca="false">SUM(C21:J21)</f>
        <v>646</v>
      </c>
      <c r="L21" s="46" t="n">
        <f aca="false">K21/800*100</f>
        <v>80.75</v>
      </c>
      <c r="M21" s="23" t="str">
        <f aca="false">IF(L21&gt;=90,"A+",IF(L21&gt;=80,"A",IF(L21&gt;=70,"B+",IF(L21&gt;=60,"B",IF(L21&gt;=50,"C","F")))))</f>
        <v>A</v>
      </c>
      <c r="N21" s="45" t="n">
        <f aca="false">RANK(L21,L$3:L$22,0)</f>
        <v>3</v>
      </c>
    </row>
    <row r="22" customFormat="false" ht="15" hidden="false" customHeight="false" outlineLevel="0" collapsed="false">
      <c r="A22" s="39" t="s">
        <v>192</v>
      </c>
      <c r="B22" s="40" t="s">
        <v>193</v>
      </c>
      <c r="C22" s="47" t="n">
        <v>62</v>
      </c>
      <c r="D22" s="47" t="n">
        <v>73</v>
      </c>
      <c r="E22" s="47" t="n">
        <v>82</v>
      </c>
      <c r="F22" s="47" t="n">
        <v>65</v>
      </c>
      <c r="G22" s="47" t="n">
        <v>84</v>
      </c>
      <c r="H22" s="44" t="n">
        <v>55</v>
      </c>
      <c r="I22" s="47" t="n">
        <v>71</v>
      </c>
      <c r="J22" s="47" t="n">
        <v>87</v>
      </c>
      <c r="K22" s="45" t="n">
        <f aca="false">SUM(C22:J22)</f>
        <v>579</v>
      </c>
      <c r="L22" s="46" t="n">
        <f aca="false">K22/800*100</f>
        <v>72.375</v>
      </c>
      <c r="M22" s="23" t="str">
        <f aca="false">IF(L22&gt;=90,"A+",IF(L22&gt;=80,"A",IF(L22&gt;=70,"B+",IF(L22&gt;=60,"B",IF(L22&gt;=50,"C","F")))))</f>
        <v>B+</v>
      </c>
      <c r="N22" s="45" t="n">
        <f aca="false">RANK(L22,L$3:L$22,0)</f>
        <v>17</v>
      </c>
    </row>
  </sheetData>
  <mergeCells count="1">
    <mergeCell ref="A1:R1"/>
  </mergeCells>
  <conditionalFormatting sqref="C3:J22">
    <cfRule type="colorScale" priority="2">
      <colorScale>
        <cfvo type="min" val="0"/>
        <cfvo type="percentile" val="50"/>
        <cfvo type="max" val="0"/>
        <color rgb="FFFFAAAA"/>
        <color rgb="FFFFFF99"/>
        <color rgb="FFAAFFA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14" min="9" style="0" width="14"/>
  </cols>
  <sheetData>
    <row r="1" customFormat="false" ht="36" hidden="false" customHeight="true" outlineLevel="0" collapsed="false">
      <c r="A1" s="41" t="s">
        <v>213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customFormat="false" ht="39.75" hidden="false" customHeight="true" outlineLevel="0" collapsed="false">
      <c r="A2" s="20" t="s">
        <v>36</v>
      </c>
      <c r="B2" s="20" t="s">
        <v>201</v>
      </c>
      <c r="C2" s="20" t="s">
        <v>15</v>
      </c>
      <c r="D2" s="20" t="s">
        <v>214</v>
      </c>
      <c r="E2" s="20" t="s">
        <v>215</v>
      </c>
      <c r="F2" s="20" t="s">
        <v>216</v>
      </c>
      <c r="G2" s="20" t="s">
        <v>217</v>
      </c>
      <c r="H2" s="20" t="s">
        <v>218</v>
      </c>
      <c r="I2" s="20" t="s">
        <v>219</v>
      </c>
      <c r="J2" s="20" t="s">
        <v>220</v>
      </c>
      <c r="K2" s="20" t="s">
        <v>221</v>
      </c>
      <c r="L2" s="20" t="s">
        <v>222</v>
      </c>
      <c r="M2" s="48" t="s">
        <v>223</v>
      </c>
      <c r="N2" s="49" t="s">
        <v>224</v>
      </c>
    </row>
    <row r="3" customFormat="false" ht="15" hidden="false" customHeight="false" outlineLevel="0" collapsed="false">
      <c r="A3" s="37" t="s">
        <v>48</v>
      </c>
      <c r="B3" s="38" t="s">
        <v>49</v>
      </c>
      <c r="C3" s="37" t="s">
        <v>52</v>
      </c>
      <c r="D3" s="50" t="n">
        <v>45000</v>
      </c>
      <c r="E3" s="50" t="n">
        <v>2500</v>
      </c>
      <c r="F3" s="50" t="n">
        <v>5000</v>
      </c>
      <c r="G3" s="50" t="n">
        <v>1500</v>
      </c>
      <c r="H3" s="51" t="n">
        <f aca="false">SUM(D3:G3)</f>
        <v>54000</v>
      </c>
      <c r="I3" s="50" t="n">
        <v>15343</v>
      </c>
      <c r="J3" s="50" t="n">
        <v>14428</v>
      </c>
      <c r="K3" s="50" t="n">
        <v>12983</v>
      </c>
      <c r="L3" s="52" t="n">
        <f aca="false">SUM(I3:K3)</f>
        <v>42754</v>
      </c>
      <c r="M3" s="53" t="n">
        <f aca="false">H3-L3</f>
        <v>11246</v>
      </c>
      <c r="N3" s="31" t="str">
        <f aca="false">IF(M3=0,"Paid",IF(M3&lt;0,"Overpaid","Pending"))</f>
        <v>Pending</v>
      </c>
    </row>
    <row r="4" customFormat="false" ht="15" hidden="false" customHeight="false" outlineLevel="0" collapsed="false">
      <c r="A4" s="39" t="s">
        <v>59</v>
      </c>
      <c r="B4" s="40" t="s">
        <v>60</v>
      </c>
      <c r="C4" s="39" t="s">
        <v>52</v>
      </c>
      <c r="D4" s="54" t="n">
        <v>45000</v>
      </c>
      <c r="E4" s="54" t="n">
        <v>2500</v>
      </c>
      <c r="F4" s="54" t="n">
        <v>5000</v>
      </c>
      <c r="G4" s="54" t="n">
        <v>1500</v>
      </c>
      <c r="H4" s="51" t="n">
        <f aca="false">SUM(D4:G4)</f>
        <v>54000</v>
      </c>
      <c r="I4" s="54" t="n">
        <v>14851</v>
      </c>
      <c r="J4" s="54" t="n">
        <v>15630</v>
      </c>
      <c r="K4" s="54" t="n">
        <v>14428</v>
      </c>
      <c r="L4" s="52" t="n">
        <f aca="false">SUM(I4:K4)</f>
        <v>44909</v>
      </c>
      <c r="M4" s="53" t="n">
        <f aca="false">H4-L4</f>
        <v>9091</v>
      </c>
      <c r="N4" s="31" t="str">
        <f aca="false">IF(M4=0,"Paid",IF(M4&lt;0,"Overpaid","Pending"))</f>
        <v>Pending</v>
      </c>
    </row>
    <row r="5" customFormat="false" ht="15" hidden="false" customHeight="false" outlineLevel="0" collapsed="false">
      <c r="A5" s="37" t="s">
        <v>67</v>
      </c>
      <c r="B5" s="38" t="s">
        <v>68</v>
      </c>
      <c r="C5" s="37" t="s">
        <v>52</v>
      </c>
      <c r="D5" s="50" t="n">
        <v>45000</v>
      </c>
      <c r="E5" s="50" t="n">
        <v>2500</v>
      </c>
      <c r="F5" s="50" t="n">
        <v>5000</v>
      </c>
      <c r="G5" s="50" t="n">
        <v>1500</v>
      </c>
      <c r="H5" s="51" t="n">
        <f aca="false">SUM(D5:G5)</f>
        <v>54000</v>
      </c>
      <c r="I5" s="50" t="n">
        <v>13316</v>
      </c>
      <c r="J5" s="50" t="n">
        <v>13946</v>
      </c>
      <c r="K5" s="50" t="n">
        <v>13182</v>
      </c>
      <c r="L5" s="52" t="n">
        <f aca="false">SUM(I5:K5)</f>
        <v>40444</v>
      </c>
      <c r="M5" s="53" t="n">
        <f aca="false">H5-L5</f>
        <v>13556</v>
      </c>
      <c r="N5" s="31" t="str">
        <f aca="false">IF(M5=0,"Paid",IF(M5&lt;0,"Overpaid","Pending"))</f>
        <v>Pending</v>
      </c>
    </row>
    <row r="6" customFormat="false" ht="15" hidden="false" customHeight="false" outlineLevel="0" collapsed="false">
      <c r="A6" s="39" t="s">
        <v>75</v>
      </c>
      <c r="B6" s="40" t="s">
        <v>76</v>
      </c>
      <c r="C6" s="39" t="s">
        <v>52</v>
      </c>
      <c r="D6" s="54" t="n">
        <v>45000</v>
      </c>
      <c r="E6" s="54" t="n">
        <v>2500</v>
      </c>
      <c r="F6" s="54" t="n">
        <v>5000</v>
      </c>
      <c r="G6" s="54" t="n">
        <v>1500</v>
      </c>
      <c r="H6" s="51" t="n">
        <f aca="false">SUM(D6:G6)</f>
        <v>54000</v>
      </c>
      <c r="I6" s="54" t="n">
        <v>16033</v>
      </c>
      <c r="J6" s="54" t="n">
        <v>15921</v>
      </c>
      <c r="K6" s="54" t="n">
        <v>15907</v>
      </c>
      <c r="L6" s="52" t="n">
        <f aca="false">SUM(I6:K6)</f>
        <v>47861</v>
      </c>
      <c r="M6" s="53" t="n">
        <f aca="false">H6-L6</f>
        <v>6139</v>
      </c>
      <c r="N6" s="31" t="str">
        <f aca="false">IF(M6=0,"Paid",IF(M6&lt;0,"Overpaid","Pending"))</f>
        <v>Pending</v>
      </c>
    </row>
    <row r="7" customFormat="false" ht="15" hidden="false" customHeight="false" outlineLevel="0" collapsed="false">
      <c r="A7" s="37" t="s">
        <v>82</v>
      </c>
      <c r="B7" s="38" t="s">
        <v>83</v>
      </c>
      <c r="C7" s="37" t="s">
        <v>52</v>
      </c>
      <c r="D7" s="50" t="n">
        <v>45000</v>
      </c>
      <c r="E7" s="50" t="n">
        <v>2500</v>
      </c>
      <c r="F7" s="50" t="n">
        <v>5000</v>
      </c>
      <c r="G7" s="50" t="n">
        <v>1500</v>
      </c>
      <c r="H7" s="51" t="n">
        <f aca="false">SUM(D7:G7)</f>
        <v>54000</v>
      </c>
      <c r="I7" s="50" t="n">
        <v>14756</v>
      </c>
      <c r="J7" s="50" t="n">
        <v>14359</v>
      </c>
      <c r="K7" s="50" t="n">
        <v>13003</v>
      </c>
      <c r="L7" s="52" t="n">
        <f aca="false">SUM(I7:K7)</f>
        <v>42118</v>
      </c>
      <c r="M7" s="53" t="n">
        <f aca="false">H7-L7</f>
        <v>11882</v>
      </c>
      <c r="N7" s="31" t="str">
        <f aca="false">IF(M7=0,"Paid",IF(M7&lt;0,"Overpaid","Pending"))</f>
        <v>Pending</v>
      </c>
    </row>
    <row r="8" customFormat="false" ht="15" hidden="false" customHeight="false" outlineLevel="0" collapsed="false">
      <c r="A8" s="39" t="s">
        <v>89</v>
      </c>
      <c r="B8" s="40" t="s">
        <v>90</v>
      </c>
      <c r="C8" s="39" t="s">
        <v>52</v>
      </c>
      <c r="D8" s="54" t="n">
        <v>45000</v>
      </c>
      <c r="E8" s="54" t="n">
        <v>2500</v>
      </c>
      <c r="F8" s="54" t="n">
        <v>5000</v>
      </c>
      <c r="G8" s="54" t="n">
        <v>1500</v>
      </c>
      <c r="H8" s="51" t="n">
        <f aca="false">SUM(D8:G8)</f>
        <v>54000</v>
      </c>
      <c r="I8" s="54" t="n">
        <v>13907</v>
      </c>
      <c r="J8" s="54" t="n">
        <v>16147</v>
      </c>
      <c r="K8" s="54" t="n">
        <v>15504</v>
      </c>
      <c r="L8" s="52" t="n">
        <f aca="false">SUM(I8:K8)</f>
        <v>45558</v>
      </c>
      <c r="M8" s="53" t="n">
        <f aca="false">H8-L8</f>
        <v>8442</v>
      </c>
      <c r="N8" s="31" t="str">
        <f aca="false">IF(M8=0,"Paid",IF(M8&lt;0,"Overpaid","Pending"))</f>
        <v>Pending</v>
      </c>
    </row>
    <row r="9" customFormat="false" ht="15" hidden="false" customHeight="false" outlineLevel="0" collapsed="false">
      <c r="A9" s="37" t="s">
        <v>96</v>
      </c>
      <c r="B9" s="38" t="s">
        <v>97</v>
      </c>
      <c r="C9" s="37" t="s">
        <v>52</v>
      </c>
      <c r="D9" s="50" t="n">
        <v>45000</v>
      </c>
      <c r="E9" s="50" t="n">
        <v>2500</v>
      </c>
      <c r="F9" s="50" t="n">
        <v>5000</v>
      </c>
      <c r="G9" s="50" t="n">
        <v>1500</v>
      </c>
      <c r="H9" s="51" t="n">
        <f aca="false">SUM(D9:G9)</f>
        <v>54000</v>
      </c>
      <c r="I9" s="50" t="n">
        <v>13462</v>
      </c>
      <c r="J9" s="50" t="n">
        <v>13467</v>
      </c>
      <c r="K9" s="50" t="n">
        <v>14642</v>
      </c>
      <c r="L9" s="52" t="n">
        <f aca="false">SUM(I9:K9)</f>
        <v>41571</v>
      </c>
      <c r="M9" s="53" t="n">
        <f aca="false">H9-L9</f>
        <v>12429</v>
      </c>
      <c r="N9" s="31" t="str">
        <f aca="false">IF(M9=0,"Paid",IF(M9&lt;0,"Overpaid","Pending"))</f>
        <v>Pending</v>
      </c>
    </row>
    <row r="10" customFormat="false" ht="15" hidden="false" customHeight="false" outlineLevel="0" collapsed="false">
      <c r="A10" s="39" t="s">
        <v>104</v>
      </c>
      <c r="B10" s="40" t="s">
        <v>105</v>
      </c>
      <c r="C10" s="39" t="s">
        <v>52</v>
      </c>
      <c r="D10" s="54" t="n">
        <v>45000</v>
      </c>
      <c r="E10" s="54" t="n">
        <v>2500</v>
      </c>
      <c r="F10" s="54" t="n">
        <v>5000</v>
      </c>
      <c r="G10" s="54" t="n">
        <v>1500</v>
      </c>
      <c r="H10" s="51" t="n">
        <f aca="false">SUM(D10:G10)</f>
        <v>54000</v>
      </c>
      <c r="I10" s="54" t="n">
        <v>12884</v>
      </c>
      <c r="J10" s="54" t="n">
        <v>15235</v>
      </c>
      <c r="K10" s="54" t="n">
        <v>15538</v>
      </c>
      <c r="L10" s="52" t="n">
        <f aca="false">SUM(I10:K10)</f>
        <v>43657</v>
      </c>
      <c r="M10" s="53" t="n">
        <f aca="false">H10-L10</f>
        <v>10343</v>
      </c>
      <c r="N10" s="31" t="str">
        <f aca="false">IF(M10=0,"Paid",IF(M10&lt;0,"Overpaid","Pending"))</f>
        <v>Pending</v>
      </c>
    </row>
    <row r="11" customFormat="false" ht="15" hidden="false" customHeight="false" outlineLevel="0" collapsed="false">
      <c r="A11" s="37" t="s">
        <v>111</v>
      </c>
      <c r="B11" s="38" t="s">
        <v>112</v>
      </c>
      <c r="C11" s="37" t="s">
        <v>52</v>
      </c>
      <c r="D11" s="50" t="n">
        <v>45000</v>
      </c>
      <c r="E11" s="50" t="n">
        <v>2500</v>
      </c>
      <c r="F11" s="50" t="n">
        <v>5000</v>
      </c>
      <c r="G11" s="50" t="n">
        <v>1500</v>
      </c>
      <c r="H11" s="51" t="n">
        <f aca="false">SUM(D11:G11)</f>
        <v>54000</v>
      </c>
      <c r="I11" s="50" t="n">
        <v>16121</v>
      </c>
      <c r="J11" s="50" t="n">
        <v>14518</v>
      </c>
      <c r="K11" s="50" t="n">
        <v>13053</v>
      </c>
      <c r="L11" s="52" t="n">
        <f aca="false">SUM(I11:K11)</f>
        <v>43692</v>
      </c>
      <c r="M11" s="53" t="n">
        <f aca="false">H11-L11</f>
        <v>10308</v>
      </c>
      <c r="N11" s="31" t="str">
        <f aca="false">IF(M11=0,"Paid",IF(M11&lt;0,"Overpaid","Pending"))</f>
        <v>Pending</v>
      </c>
    </row>
    <row r="12" customFormat="false" ht="15" hidden="false" customHeight="false" outlineLevel="0" collapsed="false">
      <c r="A12" s="39" t="s">
        <v>118</v>
      </c>
      <c r="B12" s="40" t="s">
        <v>119</v>
      </c>
      <c r="C12" s="39" t="s">
        <v>52</v>
      </c>
      <c r="D12" s="54" t="n">
        <v>45000</v>
      </c>
      <c r="E12" s="54" t="n">
        <v>2500</v>
      </c>
      <c r="F12" s="54" t="n">
        <v>5000</v>
      </c>
      <c r="G12" s="54" t="n">
        <v>1500</v>
      </c>
      <c r="H12" s="51" t="n">
        <f aca="false">SUM(D12:G12)</f>
        <v>54000</v>
      </c>
      <c r="I12" s="54" t="n">
        <v>14975</v>
      </c>
      <c r="J12" s="54" t="n">
        <v>16009</v>
      </c>
      <c r="K12" s="54" t="n">
        <v>13194</v>
      </c>
      <c r="L12" s="52" t="n">
        <f aca="false">SUM(I12:K12)</f>
        <v>44178</v>
      </c>
      <c r="M12" s="53" t="n">
        <f aca="false">H12-L12</f>
        <v>9822</v>
      </c>
      <c r="N12" s="31" t="str">
        <f aca="false">IF(M12=0,"Paid",IF(M12&lt;0,"Overpaid","Pending"))</f>
        <v>Pending</v>
      </c>
    </row>
    <row r="13" customFormat="false" ht="15" hidden="false" customHeight="false" outlineLevel="0" collapsed="false">
      <c r="A13" s="37" t="s">
        <v>125</v>
      </c>
      <c r="B13" s="38" t="s">
        <v>126</v>
      </c>
      <c r="C13" s="37" t="s">
        <v>128</v>
      </c>
      <c r="D13" s="50" t="n">
        <v>50000</v>
      </c>
      <c r="E13" s="50" t="n">
        <v>2500</v>
      </c>
      <c r="F13" s="50" t="n">
        <v>5000</v>
      </c>
      <c r="G13" s="50" t="n">
        <v>1500</v>
      </c>
      <c r="H13" s="51" t="n">
        <f aca="false">SUM(D13:G13)</f>
        <v>59000</v>
      </c>
      <c r="I13" s="50" t="n">
        <v>16111</v>
      </c>
      <c r="J13" s="50" t="n">
        <v>16426</v>
      </c>
      <c r="K13" s="50" t="n">
        <v>17857</v>
      </c>
      <c r="L13" s="52" t="n">
        <f aca="false">SUM(I13:K13)</f>
        <v>50394</v>
      </c>
      <c r="M13" s="53" t="n">
        <f aca="false">H13-L13</f>
        <v>8606</v>
      </c>
      <c r="N13" s="31" t="str">
        <f aca="false">IF(M13=0,"Paid",IF(M13&lt;0,"Overpaid","Pending"))</f>
        <v>Pending</v>
      </c>
    </row>
    <row r="14" customFormat="false" ht="15" hidden="false" customHeight="false" outlineLevel="0" collapsed="false">
      <c r="A14" s="39" t="s">
        <v>134</v>
      </c>
      <c r="B14" s="40" t="s">
        <v>135</v>
      </c>
      <c r="C14" s="39" t="s">
        <v>128</v>
      </c>
      <c r="D14" s="54" t="n">
        <v>50000</v>
      </c>
      <c r="E14" s="54" t="n">
        <v>2500</v>
      </c>
      <c r="F14" s="54" t="n">
        <v>5000</v>
      </c>
      <c r="G14" s="54" t="n">
        <v>1500</v>
      </c>
      <c r="H14" s="51" t="n">
        <f aca="false">SUM(D14:G14)</f>
        <v>59000</v>
      </c>
      <c r="I14" s="54" t="n">
        <v>17716</v>
      </c>
      <c r="J14" s="54" t="n">
        <v>17021</v>
      </c>
      <c r="K14" s="54" t="n">
        <v>16759</v>
      </c>
      <c r="L14" s="52" t="n">
        <f aca="false">SUM(I14:K14)</f>
        <v>51496</v>
      </c>
      <c r="M14" s="53" t="n">
        <f aca="false">H14-L14</f>
        <v>7504</v>
      </c>
      <c r="N14" s="31" t="str">
        <f aca="false">IF(M14=0,"Paid",IF(M14&lt;0,"Overpaid","Pending"))</f>
        <v>Pending</v>
      </c>
    </row>
    <row r="15" customFormat="false" ht="15" hidden="false" customHeight="false" outlineLevel="0" collapsed="false">
      <c r="A15" s="37" t="s">
        <v>141</v>
      </c>
      <c r="B15" s="38" t="s">
        <v>142</v>
      </c>
      <c r="C15" s="37" t="s">
        <v>128</v>
      </c>
      <c r="D15" s="50" t="n">
        <v>50000</v>
      </c>
      <c r="E15" s="50" t="n">
        <v>2500</v>
      </c>
      <c r="F15" s="50" t="n">
        <v>5000</v>
      </c>
      <c r="G15" s="50" t="n">
        <v>1500</v>
      </c>
      <c r="H15" s="51" t="n">
        <f aca="false">SUM(D15:G15)</f>
        <v>59000</v>
      </c>
      <c r="I15" s="50" t="n">
        <v>16852</v>
      </c>
      <c r="J15" s="50" t="n">
        <v>15596</v>
      </c>
      <c r="K15" s="50" t="n">
        <v>16687</v>
      </c>
      <c r="L15" s="52" t="n">
        <f aca="false">SUM(I15:K15)</f>
        <v>49135</v>
      </c>
      <c r="M15" s="53" t="n">
        <f aca="false">H15-L15</f>
        <v>9865</v>
      </c>
      <c r="N15" s="31" t="str">
        <f aca="false">IF(M15=0,"Paid",IF(M15&lt;0,"Overpaid","Pending"))</f>
        <v>Pending</v>
      </c>
    </row>
    <row r="16" customFormat="false" ht="15" hidden="false" customHeight="false" outlineLevel="0" collapsed="false">
      <c r="A16" s="39" t="s">
        <v>148</v>
      </c>
      <c r="B16" s="40" t="s">
        <v>149</v>
      </c>
      <c r="C16" s="39" t="s">
        <v>128</v>
      </c>
      <c r="D16" s="54" t="n">
        <v>50000</v>
      </c>
      <c r="E16" s="54" t="n">
        <v>2500</v>
      </c>
      <c r="F16" s="54" t="n">
        <v>5000</v>
      </c>
      <c r="G16" s="54" t="n">
        <v>1500</v>
      </c>
      <c r="H16" s="51" t="n">
        <f aca="false">SUM(D16:G16)</f>
        <v>59000</v>
      </c>
      <c r="I16" s="54" t="n">
        <v>15494</v>
      </c>
      <c r="J16" s="54" t="n">
        <v>17598</v>
      </c>
      <c r="K16" s="54" t="n">
        <v>15806</v>
      </c>
      <c r="L16" s="52" t="n">
        <f aca="false">SUM(I16:K16)</f>
        <v>48898</v>
      </c>
      <c r="M16" s="53" t="n">
        <f aca="false">H16-L16</f>
        <v>10102</v>
      </c>
      <c r="N16" s="31" t="str">
        <f aca="false">IF(M16=0,"Paid",IF(M16&lt;0,"Overpaid","Pending"))</f>
        <v>Pending</v>
      </c>
    </row>
    <row r="17" customFormat="false" ht="15" hidden="false" customHeight="false" outlineLevel="0" collapsed="false">
      <c r="A17" s="37" t="s">
        <v>155</v>
      </c>
      <c r="B17" s="38" t="s">
        <v>156</v>
      </c>
      <c r="C17" s="37" t="s">
        <v>128</v>
      </c>
      <c r="D17" s="50" t="n">
        <v>50000</v>
      </c>
      <c r="E17" s="50" t="n">
        <v>2500</v>
      </c>
      <c r="F17" s="50" t="n">
        <v>5000</v>
      </c>
      <c r="G17" s="50" t="n">
        <v>1500</v>
      </c>
      <c r="H17" s="51" t="n">
        <f aca="false">SUM(D17:G17)</f>
        <v>59000</v>
      </c>
      <c r="I17" s="50" t="n">
        <v>14992</v>
      </c>
      <c r="J17" s="50" t="n">
        <v>14256</v>
      </c>
      <c r="K17" s="50" t="n">
        <v>14084</v>
      </c>
      <c r="L17" s="52" t="n">
        <f aca="false">SUM(I17:K17)</f>
        <v>43332</v>
      </c>
      <c r="M17" s="53" t="n">
        <f aca="false">H17-L17</f>
        <v>15668</v>
      </c>
      <c r="N17" s="31" t="str">
        <f aca="false">IF(M17=0,"Paid",IF(M17&lt;0,"Overpaid","Pending"))</f>
        <v>Pending</v>
      </c>
    </row>
    <row r="18" customFormat="false" ht="15" hidden="false" customHeight="false" outlineLevel="0" collapsed="false">
      <c r="A18" s="39" t="s">
        <v>162</v>
      </c>
      <c r="B18" s="40" t="s">
        <v>163</v>
      </c>
      <c r="C18" s="39" t="s">
        <v>128</v>
      </c>
      <c r="D18" s="54" t="n">
        <v>50000</v>
      </c>
      <c r="E18" s="54" t="n">
        <v>2500</v>
      </c>
      <c r="F18" s="54" t="n">
        <v>5000</v>
      </c>
      <c r="G18" s="54" t="n">
        <v>1500</v>
      </c>
      <c r="H18" s="51" t="n">
        <f aca="false">SUM(D18:G18)</f>
        <v>59000</v>
      </c>
      <c r="I18" s="54" t="n">
        <v>16216</v>
      </c>
      <c r="J18" s="54" t="n">
        <v>16354</v>
      </c>
      <c r="K18" s="54" t="n">
        <v>14029</v>
      </c>
      <c r="L18" s="52" t="n">
        <f aca="false">SUM(I18:K18)</f>
        <v>46599</v>
      </c>
      <c r="M18" s="53" t="n">
        <f aca="false">H18-L18</f>
        <v>12401</v>
      </c>
      <c r="N18" s="31" t="str">
        <f aca="false">IF(M18=0,"Paid",IF(M18&lt;0,"Overpaid","Pending"))</f>
        <v>Pending</v>
      </c>
    </row>
    <row r="19" customFormat="false" ht="15" hidden="false" customHeight="false" outlineLevel="0" collapsed="false">
      <c r="A19" s="37" t="s">
        <v>169</v>
      </c>
      <c r="B19" s="38" t="s">
        <v>170</v>
      </c>
      <c r="C19" s="37" t="s">
        <v>172</v>
      </c>
      <c r="D19" s="50" t="n">
        <v>55000</v>
      </c>
      <c r="E19" s="50" t="n">
        <v>2500</v>
      </c>
      <c r="F19" s="50" t="n">
        <v>5000</v>
      </c>
      <c r="G19" s="50" t="n">
        <v>1500</v>
      </c>
      <c r="H19" s="51" t="n">
        <f aca="false">SUM(D19:G19)</f>
        <v>64000</v>
      </c>
      <c r="I19" s="50" t="n">
        <v>18515</v>
      </c>
      <c r="J19" s="50" t="n">
        <v>15659</v>
      </c>
      <c r="K19" s="50" t="n">
        <v>15697</v>
      </c>
      <c r="L19" s="52" t="n">
        <f aca="false">SUM(I19:K19)</f>
        <v>49871</v>
      </c>
      <c r="M19" s="53" t="n">
        <f aca="false">H19-L19</f>
        <v>14129</v>
      </c>
      <c r="N19" s="31" t="str">
        <f aca="false">IF(M19=0,"Paid",IF(M19&lt;0,"Overpaid","Pending"))</f>
        <v>Pending</v>
      </c>
    </row>
    <row r="20" customFormat="false" ht="15" hidden="false" customHeight="false" outlineLevel="0" collapsed="false">
      <c r="A20" s="39" t="s">
        <v>178</v>
      </c>
      <c r="B20" s="40" t="s">
        <v>179</v>
      </c>
      <c r="C20" s="39" t="s">
        <v>172</v>
      </c>
      <c r="D20" s="54" t="n">
        <v>55000</v>
      </c>
      <c r="E20" s="54" t="n">
        <v>2500</v>
      </c>
      <c r="F20" s="54" t="n">
        <v>5000</v>
      </c>
      <c r="G20" s="54" t="n">
        <v>1500</v>
      </c>
      <c r="H20" s="51" t="n">
        <f aca="false">SUM(D20:G20)</f>
        <v>64000</v>
      </c>
      <c r="I20" s="54" t="n">
        <v>15538</v>
      </c>
      <c r="J20" s="54" t="n">
        <v>16854</v>
      </c>
      <c r="K20" s="54" t="n">
        <v>17662</v>
      </c>
      <c r="L20" s="52" t="n">
        <f aca="false">SUM(I20:K20)</f>
        <v>50054</v>
      </c>
      <c r="M20" s="53" t="n">
        <f aca="false">H20-L20</f>
        <v>13946</v>
      </c>
      <c r="N20" s="31" t="str">
        <f aca="false">IF(M20=0,"Paid",IF(M20&lt;0,"Overpaid","Pending"))</f>
        <v>Pending</v>
      </c>
    </row>
    <row r="21" customFormat="false" ht="15" hidden="false" customHeight="false" outlineLevel="0" collapsed="false">
      <c r="A21" s="37" t="s">
        <v>185</v>
      </c>
      <c r="B21" s="38" t="s">
        <v>186</v>
      </c>
      <c r="C21" s="37" t="s">
        <v>172</v>
      </c>
      <c r="D21" s="50" t="n">
        <v>55000</v>
      </c>
      <c r="E21" s="50" t="n">
        <v>2500</v>
      </c>
      <c r="F21" s="50" t="n">
        <v>5000</v>
      </c>
      <c r="G21" s="50" t="n">
        <v>1500</v>
      </c>
      <c r="H21" s="51" t="n">
        <f aca="false">SUM(D21:G21)</f>
        <v>64000</v>
      </c>
      <c r="I21" s="50" t="n">
        <v>16625</v>
      </c>
      <c r="J21" s="50" t="n">
        <v>17536</v>
      </c>
      <c r="K21" s="50" t="n">
        <v>17773</v>
      </c>
      <c r="L21" s="52" t="n">
        <f aca="false">SUM(I21:K21)</f>
        <v>51934</v>
      </c>
      <c r="M21" s="53" t="n">
        <f aca="false">H21-L21</f>
        <v>12066</v>
      </c>
      <c r="N21" s="31" t="str">
        <f aca="false">IF(M21=0,"Paid",IF(M21&lt;0,"Overpaid","Pending"))</f>
        <v>Pending</v>
      </c>
    </row>
    <row r="22" customFormat="false" ht="15" hidden="false" customHeight="false" outlineLevel="0" collapsed="false">
      <c r="A22" s="39" t="s">
        <v>192</v>
      </c>
      <c r="B22" s="40" t="s">
        <v>193</v>
      </c>
      <c r="C22" s="39" t="s">
        <v>172</v>
      </c>
      <c r="D22" s="54" t="n">
        <v>55000</v>
      </c>
      <c r="E22" s="54" t="n">
        <v>2500</v>
      </c>
      <c r="F22" s="54" t="n">
        <v>5000</v>
      </c>
      <c r="G22" s="54" t="n">
        <v>1500</v>
      </c>
      <c r="H22" s="51" t="n">
        <f aca="false">SUM(D22:G22)</f>
        <v>64000</v>
      </c>
      <c r="I22" s="54" t="n">
        <v>18583</v>
      </c>
      <c r="J22" s="54" t="n">
        <v>19282</v>
      </c>
      <c r="K22" s="54" t="n">
        <v>17935</v>
      </c>
      <c r="L22" s="52" t="n">
        <f aca="false">SUM(I22:K22)</f>
        <v>55800</v>
      </c>
      <c r="M22" s="53" t="n">
        <f aca="false">H22-L22</f>
        <v>8200</v>
      </c>
      <c r="N22" s="31" t="str">
        <f aca="false">IF(M22=0,"Paid",IF(M22&lt;0,"Overpaid","Pending"))</f>
        <v>Pending</v>
      </c>
    </row>
    <row r="24" customFormat="false" ht="15" hidden="false" customHeight="false" outlineLevel="0" collapsed="false">
      <c r="A24" s="18" t="s">
        <v>225</v>
      </c>
      <c r="B24" s="18"/>
      <c r="C24" s="18"/>
      <c r="D24" s="55" t="n">
        <f aca="false">SUM(D3:D22)</f>
        <v>970000</v>
      </c>
      <c r="E24" s="55" t="n">
        <f aca="false">SUM(E3:E22)</f>
        <v>50000</v>
      </c>
      <c r="F24" s="55" t="n">
        <f aca="false">SUM(F3:F22)</f>
        <v>100000</v>
      </c>
      <c r="G24" s="55" t="n">
        <f aca="false">SUM(G3:G22)</f>
        <v>30000</v>
      </c>
      <c r="H24" s="55" t="n">
        <f aca="false">SUM(H3:H22)</f>
        <v>1150000</v>
      </c>
      <c r="I24" s="55" t="n">
        <f aca="false">SUM(I3:I22)</f>
        <v>312290</v>
      </c>
      <c r="J24" s="55" t="n">
        <f aca="false">SUM(J3:J22)</f>
        <v>316242</v>
      </c>
      <c r="K24" s="55" t="n">
        <f aca="false">SUM(K3:K22)</f>
        <v>305723</v>
      </c>
      <c r="L24" s="55" t="n">
        <f aca="false">SUM(L3:L22)</f>
        <v>934255</v>
      </c>
      <c r="M24" s="55" t="n">
        <f aca="false">SUM(M3:M22)</f>
        <v>215745</v>
      </c>
    </row>
  </sheetData>
  <mergeCells count="2">
    <mergeCell ref="A1:N1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28" min="3" style="0" width="4"/>
    <col collapsed="false" customWidth="true" hidden="false" outlineLevel="0" max="30" min="29" style="0" width="10"/>
    <col collapsed="false" customWidth="true" hidden="false" outlineLevel="0" max="31" min="31" style="0" width="12"/>
  </cols>
  <sheetData>
    <row r="1" customFormat="false" ht="36" hidden="false" customHeight="true" outlineLevel="0" collapsed="false">
      <c r="A1" s="41" t="s">
        <v>226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</row>
    <row r="2" customFormat="false" ht="15" hidden="false" customHeight="false" outlineLevel="0" collapsed="false">
      <c r="A2" s="19" t="s">
        <v>36</v>
      </c>
      <c r="B2" s="19" t="s">
        <v>201</v>
      </c>
      <c r="C2" s="56" t="s">
        <v>227</v>
      </c>
      <c r="D2" s="56" t="s">
        <v>228</v>
      </c>
      <c r="E2" s="56" t="s">
        <v>229</v>
      </c>
      <c r="F2" s="56" t="s">
        <v>230</v>
      </c>
      <c r="G2" s="56" t="s">
        <v>231</v>
      </c>
      <c r="H2" s="56" t="s">
        <v>232</v>
      </c>
      <c r="I2" s="56" t="s">
        <v>233</v>
      </c>
      <c r="J2" s="56" t="s">
        <v>234</v>
      </c>
      <c r="K2" s="56" t="s">
        <v>235</v>
      </c>
      <c r="L2" s="56" t="s">
        <v>52</v>
      </c>
      <c r="M2" s="56" t="s">
        <v>128</v>
      </c>
      <c r="N2" s="56" t="s">
        <v>172</v>
      </c>
      <c r="O2" s="56" t="s">
        <v>236</v>
      </c>
      <c r="P2" s="56" t="s">
        <v>237</v>
      </c>
      <c r="Q2" s="56" t="s">
        <v>238</v>
      </c>
      <c r="R2" s="56" t="s">
        <v>239</v>
      </c>
      <c r="S2" s="56" t="s">
        <v>240</v>
      </c>
      <c r="T2" s="56" t="s">
        <v>241</v>
      </c>
      <c r="U2" s="56" t="s">
        <v>242</v>
      </c>
      <c r="V2" s="56" t="s">
        <v>243</v>
      </c>
      <c r="W2" s="56" t="s">
        <v>244</v>
      </c>
      <c r="X2" s="56" t="s">
        <v>245</v>
      </c>
      <c r="Y2" s="56" t="s">
        <v>246</v>
      </c>
      <c r="Z2" s="56" t="s">
        <v>247</v>
      </c>
      <c r="AA2" s="56" t="s">
        <v>248</v>
      </c>
      <c r="AB2" s="56" t="s">
        <v>249</v>
      </c>
      <c r="AC2" s="57" t="s">
        <v>250</v>
      </c>
      <c r="AD2" s="58" t="s">
        <v>251</v>
      </c>
      <c r="AE2" s="59" t="s">
        <v>252</v>
      </c>
    </row>
    <row r="3" customFormat="false" ht="15" hidden="false" customHeight="false" outlineLevel="0" collapsed="false">
      <c r="A3" s="37" t="s">
        <v>48</v>
      </c>
      <c r="B3" s="38" t="s">
        <v>49</v>
      </c>
      <c r="C3" s="60" t="s">
        <v>253</v>
      </c>
      <c r="D3" s="60" t="s">
        <v>253</v>
      </c>
      <c r="E3" s="60" t="s">
        <v>253</v>
      </c>
      <c r="F3" s="61" t="s">
        <v>23</v>
      </c>
      <c r="G3" s="60" t="s">
        <v>253</v>
      </c>
      <c r="H3" s="60" t="s">
        <v>253</v>
      </c>
      <c r="I3" s="61" t="s">
        <v>23</v>
      </c>
      <c r="J3" s="60" t="s">
        <v>253</v>
      </c>
      <c r="K3" s="61" t="s">
        <v>23</v>
      </c>
      <c r="L3" s="60" t="s">
        <v>253</v>
      </c>
      <c r="M3" s="61" t="s">
        <v>23</v>
      </c>
      <c r="N3" s="60" t="s">
        <v>253</v>
      </c>
      <c r="O3" s="60" t="s">
        <v>253</v>
      </c>
      <c r="P3" s="60" t="s">
        <v>253</v>
      </c>
      <c r="Q3" s="60" t="s">
        <v>253</v>
      </c>
      <c r="R3" s="60" t="s">
        <v>253</v>
      </c>
      <c r="S3" s="60" t="s">
        <v>253</v>
      </c>
      <c r="T3" s="60" t="s">
        <v>253</v>
      </c>
      <c r="U3" s="60" t="s">
        <v>253</v>
      </c>
      <c r="V3" s="60" t="s">
        <v>253</v>
      </c>
      <c r="W3" s="60" t="s">
        <v>253</v>
      </c>
      <c r="X3" s="61" t="s">
        <v>23</v>
      </c>
      <c r="Y3" s="60" t="s">
        <v>253</v>
      </c>
      <c r="Z3" s="60" t="s">
        <v>253</v>
      </c>
      <c r="AA3" s="60" t="s">
        <v>253</v>
      </c>
      <c r="AB3" s="60" t="s">
        <v>253</v>
      </c>
      <c r="AC3" s="21" t="n">
        <f aca="false">COUNTIF(C3:AB3,"P")</f>
        <v>21</v>
      </c>
      <c r="AD3" s="33" t="n">
        <f aca="false">COUNTIF(C3:AB3,"A")</f>
        <v>5</v>
      </c>
      <c r="AE3" s="62" t="n">
        <f aca="false">AC3/26*100</f>
        <v>80.7692307692308</v>
      </c>
    </row>
    <row r="4" customFormat="false" ht="15" hidden="false" customHeight="false" outlineLevel="0" collapsed="false">
      <c r="A4" s="39" t="s">
        <v>59</v>
      </c>
      <c r="B4" s="40" t="s">
        <v>60</v>
      </c>
      <c r="C4" s="60" t="s">
        <v>253</v>
      </c>
      <c r="D4" s="60" t="s">
        <v>253</v>
      </c>
      <c r="E4" s="60" t="s">
        <v>253</v>
      </c>
      <c r="F4" s="60" t="s">
        <v>253</v>
      </c>
      <c r="G4" s="60" t="s">
        <v>253</v>
      </c>
      <c r="H4" s="60" t="s">
        <v>253</v>
      </c>
      <c r="I4" s="60" t="s">
        <v>253</v>
      </c>
      <c r="J4" s="61" t="s">
        <v>23</v>
      </c>
      <c r="K4" s="61" t="s">
        <v>23</v>
      </c>
      <c r="L4" s="60" t="s">
        <v>253</v>
      </c>
      <c r="M4" s="60" t="s">
        <v>253</v>
      </c>
      <c r="N4" s="60" t="s">
        <v>253</v>
      </c>
      <c r="O4" s="60" t="s">
        <v>253</v>
      </c>
      <c r="P4" s="60" t="s">
        <v>253</v>
      </c>
      <c r="Q4" s="60" t="s">
        <v>253</v>
      </c>
      <c r="R4" s="60" t="s">
        <v>253</v>
      </c>
      <c r="S4" s="60" t="s">
        <v>253</v>
      </c>
      <c r="T4" s="60" t="s">
        <v>253</v>
      </c>
      <c r="U4" s="60" t="s">
        <v>253</v>
      </c>
      <c r="V4" s="60" t="s">
        <v>253</v>
      </c>
      <c r="W4" s="60" t="s">
        <v>253</v>
      </c>
      <c r="X4" s="60" t="s">
        <v>253</v>
      </c>
      <c r="Y4" s="60" t="s">
        <v>253</v>
      </c>
      <c r="Z4" s="60" t="s">
        <v>253</v>
      </c>
      <c r="AA4" s="60" t="s">
        <v>253</v>
      </c>
      <c r="AB4" s="60" t="s">
        <v>253</v>
      </c>
      <c r="AC4" s="21" t="n">
        <f aca="false">COUNTIF(C4:AB4,"P")</f>
        <v>24</v>
      </c>
      <c r="AD4" s="33" t="n">
        <f aca="false">COUNTIF(C4:AB4,"A")</f>
        <v>2</v>
      </c>
      <c r="AE4" s="62" t="n">
        <f aca="false">AC4/26*100</f>
        <v>92.3076923076923</v>
      </c>
    </row>
    <row r="5" customFormat="false" ht="15" hidden="false" customHeight="false" outlineLevel="0" collapsed="false">
      <c r="A5" s="37" t="s">
        <v>67</v>
      </c>
      <c r="B5" s="38" t="s">
        <v>68</v>
      </c>
      <c r="C5" s="60" t="s">
        <v>253</v>
      </c>
      <c r="D5" s="60" t="s">
        <v>253</v>
      </c>
      <c r="E5" s="60" t="s">
        <v>253</v>
      </c>
      <c r="F5" s="60" t="s">
        <v>253</v>
      </c>
      <c r="G5" s="61" t="s">
        <v>23</v>
      </c>
      <c r="H5" s="60" t="s">
        <v>253</v>
      </c>
      <c r="I5" s="60" t="s">
        <v>253</v>
      </c>
      <c r="J5" s="60" t="s">
        <v>253</v>
      </c>
      <c r="K5" s="60" t="s">
        <v>253</v>
      </c>
      <c r="L5" s="60" t="s">
        <v>253</v>
      </c>
      <c r="M5" s="60" t="s">
        <v>253</v>
      </c>
      <c r="N5" s="60" t="s">
        <v>253</v>
      </c>
      <c r="O5" s="60" t="s">
        <v>253</v>
      </c>
      <c r="P5" s="60" t="s">
        <v>253</v>
      </c>
      <c r="Q5" s="60" t="s">
        <v>253</v>
      </c>
      <c r="R5" s="60" t="s">
        <v>253</v>
      </c>
      <c r="S5" s="60" t="s">
        <v>253</v>
      </c>
      <c r="T5" s="60" t="s">
        <v>253</v>
      </c>
      <c r="U5" s="61" t="s">
        <v>23</v>
      </c>
      <c r="V5" s="60" t="s">
        <v>253</v>
      </c>
      <c r="W5" s="60" t="s">
        <v>253</v>
      </c>
      <c r="X5" s="60" t="s">
        <v>253</v>
      </c>
      <c r="Y5" s="60" t="s">
        <v>253</v>
      </c>
      <c r="Z5" s="60" t="s">
        <v>253</v>
      </c>
      <c r="AA5" s="60" t="s">
        <v>253</v>
      </c>
      <c r="AB5" s="60" t="s">
        <v>253</v>
      </c>
      <c r="AC5" s="21" t="n">
        <f aca="false">COUNTIF(C5:AB5,"P")</f>
        <v>24</v>
      </c>
      <c r="AD5" s="33" t="n">
        <f aca="false">COUNTIF(C5:AB5,"A")</f>
        <v>2</v>
      </c>
      <c r="AE5" s="62" t="n">
        <f aca="false">AC5/26*100</f>
        <v>92.3076923076923</v>
      </c>
    </row>
    <row r="6" customFormat="false" ht="15" hidden="false" customHeight="false" outlineLevel="0" collapsed="false">
      <c r="A6" s="39" t="s">
        <v>75</v>
      </c>
      <c r="B6" s="40" t="s">
        <v>76</v>
      </c>
      <c r="C6" s="61" t="s">
        <v>23</v>
      </c>
      <c r="D6" s="60" t="s">
        <v>253</v>
      </c>
      <c r="E6" s="60" t="s">
        <v>253</v>
      </c>
      <c r="F6" s="60" t="s">
        <v>253</v>
      </c>
      <c r="G6" s="61" t="s">
        <v>23</v>
      </c>
      <c r="H6" s="60" t="s">
        <v>253</v>
      </c>
      <c r="I6" s="60" t="s">
        <v>253</v>
      </c>
      <c r="J6" s="60" t="s">
        <v>253</v>
      </c>
      <c r="K6" s="60" t="s">
        <v>253</v>
      </c>
      <c r="L6" s="60" t="s">
        <v>253</v>
      </c>
      <c r="M6" s="60" t="s">
        <v>253</v>
      </c>
      <c r="N6" s="60" t="s">
        <v>253</v>
      </c>
      <c r="O6" s="60" t="s">
        <v>253</v>
      </c>
      <c r="P6" s="60" t="s">
        <v>253</v>
      </c>
      <c r="Q6" s="60" t="s">
        <v>253</v>
      </c>
      <c r="R6" s="60" t="s">
        <v>253</v>
      </c>
      <c r="S6" s="60" t="s">
        <v>253</v>
      </c>
      <c r="T6" s="60" t="s">
        <v>253</v>
      </c>
      <c r="U6" s="60" t="s">
        <v>253</v>
      </c>
      <c r="V6" s="60" t="s">
        <v>253</v>
      </c>
      <c r="W6" s="60" t="s">
        <v>253</v>
      </c>
      <c r="X6" s="60" t="s">
        <v>253</v>
      </c>
      <c r="Y6" s="60" t="s">
        <v>253</v>
      </c>
      <c r="Z6" s="60" t="s">
        <v>253</v>
      </c>
      <c r="AA6" s="60" t="s">
        <v>253</v>
      </c>
      <c r="AB6" s="60" t="s">
        <v>253</v>
      </c>
      <c r="AC6" s="21" t="n">
        <f aca="false">COUNTIF(C6:AB6,"P")</f>
        <v>24</v>
      </c>
      <c r="AD6" s="33" t="n">
        <f aca="false">COUNTIF(C6:AB6,"A")</f>
        <v>2</v>
      </c>
      <c r="AE6" s="62" t="n">
        <f aca="false">AC6/26*100</f>
        <v>92.3076923076923</v>
      </c>
    </row>
    <row r="7" customFormat="false" ht="15" hidden="false" customHeight="false" outlineLevel="0" collapsed="false">
      <c r="A7" s="37" t="s">
        <v>82</v>
      </c>
      <c r="B7" s="38" t="s">
        <v>83</v>
      </c>
      <c r="C7" s="60" t="s">
        <v>253</v>
      </c>
      <c r="D7" s="60" t="s">
        <v>253</v>
      </c>
      <c r="E7" s="61" t="s">
        <v>23</v>
      </c>
      <c r="F7" s="60" t="s">
        <v>253</v>
      </c>
      <c r="G7" s="60" t="s">
        <v>253</v>
      </c>
      <c r="H7" s="60" t="s">
        <v>253</v>
      </c>
      <c r="I7" s="60" t="s">
        <v>253</v>
      </c>
      <c r="J7" s="60" t="s">
        <v>253</v>
      </c>
      <c r="K7" s="60" t="s">
        <v>253</v>
      </c>
      <c r="L7" s="60" t="s">
        <v>253</v>
      </c>
      <c r="M7" s="60" t="s">
        <v>253</v>
      </c>
      <c r="N7" s="61" t="s">
        <v>23</v>
      </c>
      <c r="O7" s="60" t="s">
        <v>253</v>
      </c>
      <c r="P7" s="60" t="s">
        <v>253</v>
      </c>
      <c r="Q7" s="60" t="s">
        <v>253</v>
      </c>
      <c r="R7" s="60" t="s">
        <v>253</v>
      </c>
      <c r="S7" s="60" t="s">
        <v>253</v>
      </c>
      <c r="T7" s="60" t="s">
        <v>253</v>
      </c>
      <c r="U7" s="60" t="s">
        <v>253</v>
      </c>
      <c r="V7" s="60" t="s">
        <v>253</v>
      </c>
      <c r="W7" s="61" t="s">
        <v>23</v>
      </c>
      <c r="X7" s="61" t="s">
        <v>23</v>
      </c>
      <c r="Y7" s="60" t="s">
        <v>253</v>
      </c>
      <c r="Z7" s="60" t="s">
        <v>253</v>
      </c>
      <c r="AA7" s="60" t="s">
        <v>253</v>
      </c>
      <c r="AB7" s="61" t="s">
        <v>23</v>
      </c>
      <c r="AC7" s="21" t="n">
        <f aca="false">COUNTIF(C7:AB7,"P")</f>
        <v>21</v>
      </c>
      <c r="AD7" s="33" t="n">
        <f aca="false">COUNTIF(C7:AB7,"A")</f>
        <v>5</v>
      </c>
      <c r="AE7" s="62" t="n">
        <f aca="false">AC7/26*100</f>
        <v>80.7692307692308</v>
      </c>
    </row>
    <row r="8" customFormat="false" ht="15" hidden="false" customHeight="false" outlineLevel="0" collapsed="false">
      <c r="A8" s="39" t="s">
        <v>89</v>
      </c>
      <c r="B8" s="40" t="s">
        <v>90</v>
      </c>
      <c r="C8" s="61" t="s">
        <v>23</v>
      </c>
      <c r="D8" s="60" t="s">
        <v>253</v>
      </c>
      <c r="E8" s="60" t="s">
        <v>253</v>
      </c>
      <c r="F8" s="60" t="s">
        <v>253</v>
      </c>
      <c r="G8" s="61" t="s">
        <v>23</v>
      </c>
      <c r="H8" s="60" t="s">
        <v>253</v>
      </c>
      <c r="I8" s="60" t="s">
        <v>253</v>
      </c>
      <c r="J8" s="60" t="s">
        <v>253</v>
      </c>
      <c r="K8" s="60" t="s">
        <v>253</v>
      </c>
      <c r="L8" s="60" t="s">
        <v>253</v>
      </c>
      <c r="M8" s="60" t="s">
        <v>253</v>
      </c>
      <c r="N8" s="60" t="s">
        <v>253</v>
      </c>
      <c r="O8" s="60" t="s">
        <v>253</v>
      </c>
      <c r="P8" s="60" t="s">
        <v>253</v>
      </c>
      <c r="Q8" s="60" t="s">
        <v>253</v>
      </c>
      <c r="R8" s="60" t="s">
        <v>253</v>
      </c>
      <c r="S8" s="60" t="s">
        <v>253</v>
      </c>
      <c r="T8" s="60" t="s">
        <v>253</v>
      </c>
      <c r="U8" s="60" t="s">
        <v>253</v>
      </c>
      <c r="V8" s="60" t="s">
        <v>253</v>
      </c>
      <c r="W8" s="60" t="s">
        <v>253</v>
      </c>
      <c r="X8" s="60" t="s">
        <v>253</v>
      </c>
      <c r="Y8" s="61" t="s">
        <v>23</v>
      </c>
      <c r="Z8" s="60" t="s">
        <v>253</v>
      </c>
      <c r="AA8" s="60" t="s">
        <v>253</v>
      </c>
      <c r="AB8" s="60" t="s">
        <v>253</v>
      </c>
      <c r="AC8" s="21" t="n">
        <f aca="false">COUNTIF(C8:AB8,"P")</f>
        <v>23</v>
      </c>
      <c r="AD8" s="33" t="n">
        <f aca="false">COUNTIF(C8:AB8,"A")</f>
        <v>3</v>
      </c>
      <c r="AE8" s="62" t="n">
        <f aca="false">AC8/26*100</f>
        <v>88.4615384615385</v>
      </c>
    </row>
    <row r="9" customFormat="false" ht="15" hidden="false" customHeight="false" outlineLevel="0" collapsed="false">
      <c r="A9" s="37" t="s">
        <v>96</v>
      </c>
      <c r="B9" s="38" t="s">
        <v>97</v>
      </c>
      <c r="C9" s="60" t="s">
        <v>253</v>
      </c>
      <c r="D9" s="61" t="s">
        <v>23</v>
      </c>
      <c r="E9" s="60" t="s">
        <v>253</v>
      </c>
      <c r="F9" s="60" t="s">
        <v>253</v>
      </c>
      <c r="G9" s="60" t="s">
        <v>253</v>
      </c>
      <c r="H9" s="60" t="s">
        <v>253</v>
      </c>
      <c r="I9" s="60" t="s">
        <v>253</v>
      </c>
      <c r="J9" s="60" t="s">
        <v>253</v>
      </c>
      <c r="K9" s="60" t="s">
        <v>253</v>
      </c>
      <c r="L9" s="60" t="s">
        <v>253</v>
      </c>
      <c r="M9" s="60" t="s">
        <v>253</v>
      </c>
      <c r="N9" s="60" t="s">
        <v>253</v>
      </c>
      <c r="O9" s="60" t="s">
        <v>253</v>
      </c>
      <c r="P9" s="60" t="s">
        <v>253</v>
      </c>
      <c r="Q9" s="60" t="s">
        <v>253</v>
      </c>
      <c r="R9" s="60" t="s">
        <v>253</v>
      </c>
      <c r="S9" s="60" t="s">
        <v>253</v>
      </c>
      <c r="T9" s="60" t="s">
        <v>253</v>
      </c>
      <c r="U9" s="60" t="s">
        <v>253</v>
      </c>
      <c r="V9" s="60" t="s">
        <v>253</v>
      </c>
      <c r="W9" s="60" t="s">
        <v>253</v>
      </c>
      <c r="X9" s="60" t="s">
        <v>253</v>
      </c>
      <c r="Y9" s="60" t="s">
        <v>253</v>
      </c>
      <c r="Z9" s="61" t="s">
        <v>23</v>
      </c>
      <c r="AA9" s="61" t="s">
        <v>23</v>
      </c>
      <c r="AB9" s="60" t="s">
        <v>253</v>
      </c>
      <c r="AC9" s="21" t="n">
        <f aca="false">COUNTIF(C9:AB9,"P")</f>
        <v>23</v>
      </c>
      <c r="AD9" s="33" t="n">
        <f aca="false">COUNTIF(C9:AB9,"A")</f>
        <v>3</v>
      </c>
      <c r="AE9" s="62" t="n">
        <f aca="false">AC9/26*100</f>
        <v>88.4615384615385</v>
      </c>
    </row>
    <row r="10" customFormat="false" ht="15" hidden="false" customHeight="false" outlineLevel="0" collapsed="false">
      <c r="A10" s="39" t="s">
        <v>104</v>
      </c>
      <c r="B10" s="40" t="s">
        <v>105</v>
      </c>
      <c r="C10" s="60" t="s">
        <v>253</v>
      </c>
      <c r="D10" s="60" t="s">
        <v>253</v>
      </c>
      <c r="E10" s="60" t="s">
        <v>253</v>
      </c>
      <c r="F10" s="60" t="s">
        <v>253</v>
      </c>
      <c r="G10" s="60" t="s">
        <v>253</v>
      </c>
      <c r="H10" s="60" t="s">
        <v>253</v>
      </c>
      <c r="I10" s="60" t="s">
        <v>253</v>
      </c>
      <c r="J10" s="60" t="s">
        <v>253</v>
      </c>
      <c r="K10" s="60" t="s">
        <v>253</v>
      </c>
      <c r="L10" s="60" t="s">
        <v>253</v>
      </c>
      <c r="M10" s="60" t="s">
        <v>253</v>
      </c>
      <c r="N10" s="60" t="s">
        <v>253</v>
      </c>
      <c r="O10" s="60" t="s">
        <v>253</v>
      </c>
      <c r="P10" s="60" t="s">
        <v>253</v>
      </c>
      <c r="Q10" s="60" t="s">
        <v>253</v>
      </c>
      <c r="R10" s="60" t="s">
        <v>253</v>
      </c>
      <c r="S10" s="60" t="s">
        <v>253</v>
      </c>
      <c r="T10" s="60" t="s">
        <v>253</v>
      </c>
      <c r="U10" s="60" t="s">
        <v>253</v>
      </c>
      <c r="V10" s="60" t="s">
        <v>253</v>
      </c>
      <c r="W10" s="60" t="s">
        <v>253</v>
      </c>
      <c r="X10" s="60" t="s">
        <v>253</v>
      </c>
      <c r="Y10" s="60" t="s">
        <v>253</v>
      </c>
      <c r="Z10" s="60" t="s">
        <v>253</v>
      </c>
      <c r="AA10" s="60" t="s">
        <v>253</v>
      </c>
      <c r="AB10" s="60" t="s">
        <v>253</v>
      </c>
      <c r="AC10" s="21" t="n">
        <f aca="false">COUNTIF(C10:AB10,"P")</f>
        <v>26</v>
      </c>
      <c r="AD10" s="33" t="n">
        <f aca="false">COUNTIF(C10:AB10,"A")</f>
        <v>0</v>
      </c>
      <c r="AE10" s="62" t="n">
        <f aca="false">AC10/26*100</f>
        <v>100</v>
      </c>
    </row>
    <row r="11" customFormat="false" ht="15" hidden="false" customHeight="false" outlineLevel="0" collapsed="false">
      <c r="A11" s="37" t="s">
        <v>111</v>
      </c>
      <c r="B11" s="38" t="s">
        <v>112</v>
      </c>
      <c r="C11" s="60" t="s">
        <v>253</v>
      </c>
      <c r="D11" s="60" t="s">
        <v>253</v>
      </c>
      <c r="E11" s="60" t="s">
        <v>253</v>
      </c>
      <c r="F11" s="60" t="s">
        <v>253</v>
      </c>
      <c r="G11" s="60" t="s">
        <v>253</v>
      </c>
      <c r="H11" s="60" t="s">
        <v>253</v>
      </c>
      <c r="I11" s="60" t="s">
        <v>253</v>
      </c>
      <c r="J11" s="60" t="s">
        <v>253</v>
      </c>
      <c r="K11" s="60" t="s">
        <v>253</v>
      </c>
      <c r="L11" s="60" t="s">
        <v>253</v>
      </c>
      <c r="M11" s="60" t="s">
        <v>253</v>
      </c>
      <c r="N11" s="60" t="s">
        <v>253</v>
      </c>
      <c r="O11" s="60" t="s">
        <v>253</v>
      </c>
      <c r="P11" s="60" t="s">
        <v>253</v>
      </c>
      <c r="Q11" s="60" t="s">
        <v>253</v>
      </c>
      <c r="R11" s="60" t="s">
        <v>253</v>
      </c>
      <c r="S11" s="60" t="s">
        <v>253</v>
      </c>
      <c r="T11" s="60" t="s">
        <v>253</v>
      </c>
      <c r="U11" s="60" t="s">
        <v>253</v>
      </c>
      <c r="V11" s="61" t="s">
        <v>23</v>
      </c>
      <c r="W11" s="60" t="s">
        <v>253</v>
      </c>
      <c r="X11" s="60" t="s">
        <v>253</v>
      </c>
      <c r="Y11" s="60" t="s">
        <v>253</v>
      </c>
      <c r="Z11" s="60" t="s">
        <v>253</v>
      </c>
      <c r="AA11" s="60" t="s">
        <v>253</v>
      </c>
      <c r="AB11" s="60" t="s">
        <v>253</v>
      </c>
      <c r="AC11" s="21" t="n">
        <f aca="false">COUNTIF(C11:AB11,"P")</f>
        <v>25</v>
      </c>
      <c r="AD11" s="33" t="n">
        <f aca="false">COUNTIF(C11:AB11,"A")</f>
        <v>1</v>
      </c>
      <c r="AE11" s="62" t="n">
        <f aca="false">AC11/26*100</f>
        <v>96.1538461538462</v>
      </c>
    </row>
    <row r="12" customFormat="false" ht="15" hidden="false" customHeight="false" outlineLevel="0" collapsed="false">
      <c r="A12" s="39" t="s">
        <v>118</v>
      </c>
      <c r="B12" s="40" t="s">
        <v>119</v>
      </c>
      <c r="C12" s="60" t="s">
        <v>253</v>
      </c>
      <c r="D12" s="60" t="s">
        <v>253</v>
      </c>
      <c r="E12" s="60" t="s">
        <v>253</v>
      </c>
      <c r="F12" s="60" t="s">
        <v>253</v>
      </c>
      <c r="G12" s="60" t="s">
        <v>253</v>
      </c>
      <c r="H12" s="60" t="s">
        <v>253</v>
      </c>
      <c r="I12" s="60" t="s">
        <v>253</v>
      </c>
      <c r="J12" s="60" t="s">
        <v>253</v>
      </c>
      <c r="K12" s="60" t="s">
        <v>253</v>
      </c>
      <c r="L12" s="60" t="s">
        <v>253</v>
      </c>
      <c r="M12" s="60" t="s">
        <v>253</v>
      </c>
      <c r="N12" s="60" t="s">
        <v>253</v>
      </c>
      <c r="O12" s="60" t="s">
        <v>253</v>
      </c>
      <c r="P12" s="60" t="s">
        <v>253</v>
      </c>
      <c r="Q12" s="60" t="s">
        <v>253</v>
      </c>
      <c r="R12" s="60" t="s">
        <v>253</v>
      </c>
      <c r="S12" s="60" t="s">
        <v>253</v>
      </c>
      <c r="T12" s="60" t="s">
        <v>253</v>
      </c>
      <c r="U12" s="60" t="s">
        <v>253</v>
      </c>
      <c r="V12" s="61" t="s">
        <v>23</v>
      </c>
      <c r="W12" s="60" t="s">
        <v>253</v>
      </c>
      <c r="X12" s="60" t="s">
        <v>253</v>
      </c>
      <c r="Y12" s="61" t="s">
        <v>23</v>
      </c>
      <c r="Z12" s="60" t="s">
        <v>253</v>
      </c>
      <c r="AA12" s="60" t="s">
        <v>253</v>
      </c>
      <c r="AB12" s="60" t="s">
        <v>253</v>
      </c>
      <c r="AC12" s="21" t="n">
        <f aca="false">COUNTIF(C12:AB12,"P")</f>
        <v>24</v>
      </c>
      <c r="AD12" s="33" t="n">
        <f aca="false">COUNTIF(C12:AB12,"A")</f>
        <v>2</v>
      </c>
      <c r="AE12" s="62" t="n">
        <f aca="false">AC12/26*100</f>
        <v>92.3076923076923</v>
      </c>
    </row>
    <row r="13" customFormat="false" ht="15" hidden="false" customHeight="false" outlineLevel="0" collapsed="false">
      <c r="A13" s="37" t="s">
        <v>125</v>
      </c>
      <c r="B13" s="38" t="s">
        <v>126</v>
      </c>
      <c r="C13" s="60" t="s">
        <v>253</v>
      </c>
      <c r="D13" s="60" t="s">
        <v>253</v>
      </c>
      <c r="E13" s="60" t="s">
        <v>253</v>
      </c>
      <c r="F13" s="60" t="s">
        <v>253</v>
      </c>
      <c r="G13" s="60" t="s">
        <v>253</v>
      </c>
      <c r="H13" s="60" t="s">
        <v>253</v>
      </c>
      <c r="I13" s="60" t="s">
        <v>253</v>
      </c>
      <c r="J13" s="60" t="s">
        <v>253</v>
      </c>
      <c r="K13" s="60" t="s">
        <v>253</v>
      </c>
      <c r="L13" s="60" t="s">
        <v>253</v>
      </c>
      <c r="M13" s="60" t="s">
        <v>253</v>
      </c>
      <c r="N13" s="60" t="s">
        <v>253</v>
      </c>
      <c r="O13" s="60" t="s">
        <v>253</v>
      </c>
      <c r="P13" s="60" t="s">
        <v>253</v>
      </c>
      <c r="Q13" s="60" t="s">
        <v>253</v>
      </c>
      <c r="R13" s="60" t="s">
        <v>253</v>
      </c>
      <c r="S13" s="60" t="s">
        <v>253</v>
      </c>
      <c r="T13" s="60" t="s">
        <v>253</v>
      </c>
      <c r="U13" s="60" t="s">
        <v>253</v>
      </c>
      <c r="V13" s="60" t="s">
        <v>253</v>
      </c>
      <c r="W13" s="60" t="s">
        <v>253</v>
      </c>
      <c r="X13" s="60" t="s">
        <v>253</v>
      </c>
      <c r="Y13" s="60" t="s">
        <v>253</v>
      </c>
      <c r="Z13" s="60" t="s">
        <v>253</v>
      </c>
      <c r="AA13" s="60" t="s">
        <v>253</v>
      </c>
      <c r="AB13" s="60" t="s">
        <v>253</v>
      </c>
      <c r="AC13" s="21" t="n">
        <f aca="false">COUNTIF(C13:AB13,"P")</f>
        <v>26</v>
      </c>
      <c r="AD13" s="33" t="n">
        <f aca="false">COUNTIF(C13:AB13,"A")</f>
        <v>0</v>
      </c>
      <c r="AE13" s="62" t="n">
        <f aca="false">AC13/26*100</f>
        <v>100</v>
      </c>
    </row>
    <row r="14" customFormat="false" ht="15" hidden="false" customHeight="false" outlineLevel="0" collapsed="false">
      <c r="A14" s="39" t="s">
        <v>134</v>
      </c>
      <c r="B14" s="40" t="s">
        <v>135</v>
      </c>
      <c r="C14" s="60" t="s">
        <v>253</v>
      </c>
      <c r="D14" s="60" t="s">
        <v>253</v>
      </c>
      <c r="E14" s="60" t="s">
        <v>253</v>
      </c>
      <c r="F14" s="60" t="s">
        <v>253</v>
      </c>
      <c r="G14" s="60" t="s">
        <v>253</v>
      </c>
      <c r="H14" s="60" t="s">
        <v>253</v>
      </c>
      <c r="I14" s="60" t="s">
        <v>253</v>
      </c>
      <c r="J14" s="60" t="s">
        <v>253</v>
      </c>
      <c r="K14" s="61" t="s">
        <v>23</v>
      </c>
      <c r="L14" s="60" t="s">
        <v>253</v>
      </c>
      <c r="M14" s="61" t="s">
        <v>23</v>
      </c>
      <c r="N14" s="60" t="s">
        <v>253</v>
      </c>
      <c r="O14" s="60" t="s">
        <v>253</v>
      </c>
      <c r="P14" s="60" t="s">
        <v>253</v>
      </c>
      <c r="Q14" s="60" t="s">
        <v>253</v>
      </c>
      <c r="R14" s="60" t="s">
        <v>253</v>
      </c>
      <c r="S14" s="60" t="s">
        <v>253</v>
      </c>
      <c r="T14" s="60" t="s">
        <v>253</v>
      </c>
      <c r="U14" s="60" t="s">
        <v>253</v>
      </c>
      <c r="V14" s="60" t="s">
        <v>253</v>
      </c>
      <c r="W14" s="60" t="s">
        <v>253</v>
      </c>
      <c r="X14" s="60" t="s">
        <v>253</v>
      </c>
      <c r="Y14" s="60" t="s">
        <v>253</v>
      </c>
      <c r="Z14" s="60" t="s">
        <v>253</v>
      </c>
      <c r="AA14" s="60" t="s">
        <v>253</v>
      </c>
      <c r="AB14" s="60" t="s">
        <v>253</v>
      </c>
      <c r="AC14" s="21" t="n">
        <f aca="false">COUNTIF(C14:AB14,"P")</f>
        <v>24</v>
      </c>
      <c r="AD14" s="33" t="n">
        <f aca="false">COUNTIF(C14:AB14,"A")</f>
        <v>2</v>
      </c>
      <c r="AE14" s="62" t="n">
        <f aca="false">AC14/26*100</f>
        <v>92.3076923076923</v>
      </c>
    </row>
    <row r="15" customFormat="false" ht="15" hidden="false" customHeight="false" outlineLevel="0" collapsed="false">
      <c r="A15" s="37" t="s">
        <v>141</v>
      </c>
      <c r="B15" s="38" t="s">
        <v>142</v>
      </c>
      <c r="C15" s="60" t="s">
        <v>253</v>
      </c>
      <c r="D15" s="60" t="s">
        <v>253</v>
      </c>
      <c r="E15" s="60" t="s">
        <v>253</v>
      </c>
      <c r="F15" s="60" t="s">
        <v>253</v>
      </c>
      <c r="G15" s="60" t="s">
        <v>253</v>
      </c>
      <c r="H15" s="60" t="s">
        <v>253</v>
      </c>
      <c r="I15" s="60" t="s">
        <v>253</v>
      </c>
      <c r="J15" s="61" t="s">
        <v>23</v>
      </c>
      <c r="K15" s="60" t="s">
        <v>253</v>
      </c>
      <c r="L15" s="60" t="s">
        <v>253</v>
      </c>
      <c r="M15" s="61" t="s">
        <v>23</v>
      </c>
      <c r="N15" s="60" t="s">
        <v>253</v>
      </c>
      <c r="O15" s="60" t="s">
        <v>253</v>
      </c>
      <c r="P15" s="60" t="s">
        <v>253</v>
      </c>
      <c r="Q15" s="61" t="s">
        <v>23</v>
      </c>
      <c r="R15" s="60" t="s">
        <v>253</v>
      </c>
      <c r="S15" s="60" t="s">
        <v>253</v>
      </c>
      <c r="T15" s="60" t="s">
        <v>253</v>
      </c>
      <c r="U15" s="60" t="s">
        <v>253</v>
      </c>
      <c r="V15" s="60" t="s">
        <v>253</v>
      </c>
      <c r="W15" s="61" t="s">
        <v>23</v>
      </c>
      <c r="X15" s="60" t="s">
        <v>253</v>
      </c>
      <c r="Y15" s="60" t="s">
        <v>253</v>
      </c>
      <c r="Z15" s="60" t="s">
        <v>253</v>
      </c>
      <c r="AA15" s="60" t="s">
        <v>253</v>
      </c>
      <c r="AB15" s="60" t="s">
        <v>253</v>
      </c>
      <c r="AC15" s="21" t="n">
        <f aca="false">COUNTIF(C15:AB15,"P")</f>
        <v>22</v>
      </c>
      <c r="AD15" s="33" t="n">
        <f aca="false">COUNTIF(C15:AB15,"A")</f>
        <v>4</v>
      </c>
      <c r="AE15" s="62" t="n">
        <f aca="false">AC15/26*100</f>
        <v>84.6153846153846</v>
      </c>
    </row>
    <row r="16" customFormat="false" ht="15" hidden="false" customHeight="false" outlineLevel="0" collapsed="false">
      <c r="A16" s="39" t="s">
        <v>148</v>
      </c>
      <c r="B16" s="40" t="s">
        <v>149</v>
      </c>
      <c r="C16" s="60" t="s">
        <v>253</v>
      </c>
      <c r="D16" s="60" t="s">
        <v>253</v>
      </c>
      <c r="E16" s="60" t="s">
        <v>253</v>
      </c>
      <c r="F16" s="60" t="s">
        <v>253</v>
      </c>
      <c r="G16" s="60" t="s">
        <v>253</v>
      </c>
      <c r="H16" s="60" t="s">
        <v>253</v>
      </c>
      <c r="I16" s="60" t="s">
        <v>253</v>
      </c>
      <c r="J16" s="61" t="s">
        <v>23</v>
      </c>
      <c r="K16" s="60" t="s">
        <v>253</v>
      </c>
      <c r="L16" s="60" t="s">
        <v>253</v>
      </c>
      <c r="M16" s="61" t="s">
        <v>23</v>
      </c>
      <c r="N16" s="60" t="s">
        <v>253</v>
      </c>
      <c r="O16" s="60" t="s">
        <v>253</v>
      </c>
      <c r="P16" s="60" t="s">
        <v>253</v>
      </c>
      <c r="Q16" s="60" t="s">
        <v>253</v>
      </c>
      <c r="R16" s="60" t="s">
        <v>253</v>
      </c>
      <c r="S16" s="61" t="s">
        <v>23</v>
      </c>
      <c r="T16" s="60" t="s">
        <v>253</v>
      </c>
      <c r="U16" s="60" t="s">
        <v>253</v>
      </c>
      <c r="V16" s="60" t="s">
        <v>253</v>
      </c>
      <c r="W16" s="60" t="s">
        <v>253</v>
      </c>
      <c r="X16" s="60" t="s">
        <v>253</v>
      </c>
      <c r="Y16" s="60" t="s">
        <v>253</v>
      </c>
      <c r="Z16" s="60" t="s">
        <v>253</v>
      </c>
      <c r="AA16" s="60" t="s">
        <v>253</v>
      </c>
      <c r="AB16" s="60" t="s">
        <v>253</v>
      </c>
      <c r="AC16" s="21" t="n">
        <f aca="false">COUNTIF(C16:AB16,"P")</f>
        <v>23</v>
      </c>
      <c r="AD16" s="33" t="n">
        <f aca="false">COUNTIF(C16:AB16,"A")</f>
        <v>3</v>
      </c>
      <c r="AE16" s="62" t="n">
        <f aca="false">AC16/26*100</f>
        <v>88.4615384615385</v>
      </c>
    </row>
    <row r="17" customFormat="false" ht="15" hidden="false" customHeight="false" outlineLevel="0" collapsed="false">
      <c r="A17" s="37" t="s">
        <v>155</v>
      </c>
      <c r="B17" s="38" t="s">
        <v>156</v>
      </c>
      <c r="C17" s="60" t="s">
        <v>253</v>
      </c>
      <c r="D17" s="60" t="s">
        <v>253</v>
      </c>
      <c r="E17" s="61" t="s">
        <v>23</v>
      </c>
      <c r="F17" s="60" t="s">
        <v>253</v>
      </c>
      <c r="G17" s="60" t="s">
        <v>253</v>
      </c>
      <c r="H17" s="60" t="s">
        <v>253</v>
      </c>
      <c r="I17" s="60" t="s">
        <v>253</v>
      </c>
      <c r="J17" s="60" t="s">
        <v>253</v>
      </c>
      <c r="K17" s="60" t="s">
        <v>253</v>
      </c>
      <c r="L17" s="60" t="s">
        <v>253</v>
      </c>
      <c r="M17" s="60" t="s">
        <v>253</v>
      </c>
      <c r="N17" s="61" t="s">
        <v>23</v>
      </c>
      <c r="O17" s="60" t="s">
        <v>253</v>
      </c>
      <c r="P17" s="61" t="s">
        <v>23</v>
      </c>
      <c r="Q17" s="60" t="s">
        <v>253</v>
      </c>
      <c r="R17" s="60" t="s">
        <v>253</v>
      </c>
      <c r="S17" s="60" t="s">
        <v>253</v>
      </c>
      <c r="T17" s="60" t="s">
        <v>253</v>
      </c>
      <c r="U17" s="60" t="s">
        <v>253</v>
      </c>
      <c r="V17" s="60" t="s">
        <v>253</v>
      </c>
      <c r="W17" s="60" t="s">
        <v>253</v>
      </c>
      <c r="X17" s="60" t="s">
        <v>253</v>
      </c>
      <c r="Y17" s="60" t="s">
        <v>253</v>
      </c>
      <c r="Z17" s="60" t="s">
        <v>253</v>
      </c>
      <c r="AA17" s="60" t="s">
        <v>253</v>
      </c>
      <c r="AB17" s="60" t="s">
        <v>253</v>
      </c>
      <c r="AC17" s="21" t="n">
        <f aca="false">COUNTIF(C17:AB17,"P")</f>
        <v>23</v>
      </c>
      <c r="AD17" s="33" t="n">
        <f aca="false">COUNTIF(C17:AB17,"A")</f>
        <v>3</v>
      </c>
      <c r="AE17" s="62" t="n">
        <f aca="false">AC17/26*100</f>
        <v>88.4615384615385</v>
      </c>
    </row>
    <row r="18" customFormat="false" ht="15" hidden="false" customHeight="false" outlineLevel="0" collapsed="false">
      <c r="A18" s="39" t="s">
        <v>162</v>
      </c>
      <c r="B18" s="40" t="s">
        <v>163</v>
      </c>
      <c r="C18" s="60" t="s">
        <v>253</v>
      </c>
      <c r="D18" s="60" t="s">
        <v>253</v>
      </c>
      <c r="E18" s="60" t="s">
        <v>253</v>
      </c>
      <c r="F18" s="60" t="s">
        <v>253</v>
      </c>
      <c r="G18" s="60" t="s">
        <v>253</v>
      </c>
      <c r="H18" s="60" t="s">
        <v>253</v>
      </c>
      <c r="I18" s="60" t="s">
        <v>253</v>
      </c>
      <c r="J18" s="60" t="s">
        <v>253</v>
      </c>
      <c r="K18" s="61" t="s">
        <v>23</v>
      </c>
      <c r="L18" s="60" t="s">
        <v>253</v>
      </c>
      <c r="M18" s="61" t="s">
        <v>23</v>
      </c>
      <c r="N18" s="60" t="s">
        <v>253</v>
      </c>
      <c r="O18" s="60" t="s">
        <v>253</v>
      </c>
      <c r="P18" s="60" t="s">
        <v>253</v>
      </c>
      <c r="Q18" s="60" t="s">
        <v>253</v>
      </c>
      <c r="R18" s="60" t="s">
        <v>253</v>
      </c>
      <c r="S18" s="60" t="s">
        <v>253</v>
      </c>
      <c r="T18" s="60" t="s">
        <v>253</v>
      </c>
      <c r="U18" s="60" t="s">
        <v>253</v>
      </c>
      <c r="V18" s="60" t="s">
        <v>253</v>
      </c>
      <c r="W18" s="60" t="s">
        <v>253</v>
      </c>
      <c r="X18" s="60" t="s">
        <v>253</v>
      </c>
      <c r="Y18" s="60" t="s">
        <v>253</v>
      </c>
      <c r="Z18" s="60" t="s">
        <v>253</v>
      </c>
      <c r="AA18" s="60" t="s">
        <v>253</v>
      </c>
      <c r="AB18" s="60" t="s">
        <v>253</v>
      </c>
      <c r="AC18" s="21" t="n">
        <f aca="false">COUNTIF(C18:AB18,"P")</f>
        <v>24</v>
      </c>
      <c r="AD18" s="33" t="n">
        <f aca="false">COUNTIF(C18:AB18,"A")</f>
        <v>2</v>
      </c>
      <c r="AE18" s="62" t="n">
        <f aca="false">AC18/26*100</f>
        <v>92.3076923076923</v>
      </c>
    </row>
    <row r="19" customFormat="false" ht="15" hidden="false" customHeight="false" outlineLevel="0" collapsed="false">
      <c r="A19" s="37" t="s">
        <v>169</v>
      </c>
      <c r="B19" s="38" t="s">
        <v>170</v>
      </c>
      <c r="C19" s="60" t="s">
        <v>253</v>
      </c>
      <c r="D19" s="60" t="s">
        <v>253</v>
      </c>
      <c r="E19" s="60" t="s">
        <v>253</v>
      </c>
      <c r="F19" s="60" t="s">
        <v>253</v>
      </c>
      <c r="G19" s="60" t="s">
        <v>253</v>
      </c>
      <c r="H19" s="60" t="s">
        <v>253</v>
      </c>
      <c r="I19" s="61" t="s">
        <v>23</v>
      </c>
      <c r="J19" s="60" t="s">
        <v>253</v>
      </c>
      <c r="K19" s="60" t="s">
        <v>253</v>
      </c>
      <c r="L19" s="60" t="s">
        <v>253</v>
      </c>
      <c r="M19" s="60" t="s">
        <v>253</v>
      </c>
      <c r="N19" s="60" t="s">
        <v>253</v>
      </c>
      <c r="O19" s="61" t="s">
        <v>23</v>
      </c>
      <c r="P19" s="60" t="s">
        <v>253</v>
      </c>
      <c r="Q19" s="60" t="s">
        <v>253</v>
      </c>
      <c r="R19" s="60" t="s">
        <v>253</v>
      </c>
      <c r="S19" s="61" t="s">
        <v>23</v>
      </c>
      <c r="T19" s="61" t="s">
        <v>23</v>
      </c>
      <c r="U19" s="60" t="s">
        <v>253</v>
      </c>
      <c r="V19" s="60" t="s">
        <v>253</v>
      </c>
      <c r="W19" s="60" t="s">
        <v>253</v>
      </c>
      <c r="X19" s="60" t="s">
        <v>253</v>
      </c>
      <c r="Y19" s="60" t="s">
        <v>253</v>
      </c>
      <c r="Z19" s="60" t="s">
        <v>253</v>
      </c>
      <c r="AA19" s="60" t="s">
        <v>253</v>
      </c>
      <c r="AB19" s="60" t="s">
        <v>253</v>
      </c>
      <c r="AC19" s="21" t="n">
        <f aca="false">COUNTIF(C19:AB19,"P")</f>
        <v>22</v>
      </c>
      <c r="AD19" s="33" t="n">
        <f aca="false">COUNTIF(C19:AB19,"A")</f>
        <v>4</v>
      </c>
      <c r="AE19" s="62" t="n">
        <f aca="false">AC19/26*100</f>
        <v>84.6153846153846</v>
      </c>
    </row>
    <row r="20" customFormat="false" ht="15" hidden="false" customHeight="false" outlineLevel="0" collapsed="false">
      <c r="A20" s="39" t="s">
        <v>178</v>
      </c>
      <c r="B20" s="40" t="s">
        <v>179</v>
      </c>
      <c r="C20" s="60" t="s">
        <v>253</v>
      </c>
      <c r="D20" s="60" t="s">
        <v>253</v>
      </c>
      <c r="E20" s="60" t="s">
        <v>253</v>
      </c>
      <c r="F20" s="60" t="s">
        <v>253</v>
      </c>
      <c r="G20" s="60" t="s">
        <v>253</v>
      </c>
      <c r="H20" s="60" t="s">
        <v>253</v>
      </c>
      <c r="I20" s="61" t="s">
        <v>23</v>
      </c>
      <c r="J20" s="60" t="s">
        <v>253</v>
      </c>
      <c r="K20" s="60" t="s">
        <v>253</v>
      </c>
      <c r="L20" s="60" t="s">
        <v>253</v>
      </c>
      <c r="M20" s="60" t="s">
        <v>253</v>
      </c>
      <c r="N20" s="60" t="s">
        <v>253</v>
      </c>
      <c r="O20" s="60" t="s">
        <v>253</v>
      </c>
      <c r="P20" s="60" t="s">
        <v>253</v>
      </c>
      <c r="Q20" s="60" t="s">
        <v>253</v>
      </c>
      <c r="R20" s="60" t="s">
        <v>253</v>
      </c>
      <c r="S20" s="60" t="s">
        <v>253</v>
      </c>
      <c r="T20" s="60" t="s">
        <v>253</v>
      </c>
      <c r="U20" s="60" t="s">
        <v>253</v>
      </c>
      <c r="V20" s="60" t="s">
        <v>253</v>
      </c>
      <c r="W20" s="60" t="s">
        <v>253</v>
      </c>
      <c r="X20" s="60" t="s">
        <v>253</v>
      </c>
      <c r="Y20" s="60" t="s">
        <v>253</v>
      </c>
      <c r="Z20" s="61" t="s">
        <v>23</v>
      </c>
      <c r="AA20" s="60" t="s">
        <v>253</v>
      </c>
      <c r="AB20" s="60" t="s">
        <v>253</v>
      </c>
      <c r="AC20" s="21" t="n">
        <f aca="false">COUNTIF(C20:AB20,"P")</f>
        <v>24</v>
      </c>
      <c r="AD20" s="33" t="n">
        <f aca="false">COUNTIF(C20:AB20,"A")</f>
        <v>2</v>
      </c>
      <c r="AE20" s="62" t="n">
        <f aca="false">AC20/26*100</f>
        <v>92.3076923076923</v>
      </c>
    </row>
    <row r="21" customFormat="false" ht="15" hidden="false" customHeight="false" outlineLevel="0" collapsed="false">
      <c r="A21" s="37" t="s">
        <v>185</v>
      </c>
      <c r="B21" s="38" t="s">
        <v>186</v>
      </c>
      <c r="C21" s="60" t="s">
        <v>253</v>
      </c>
      <c r="D21" s="60" t="s">
        <v>253</v>
      </c>
      <c r="E21" s="60" t="s">
        <v>253</v>
      </c>
      <c r="F21" s="60" t="s">
        <v>253</v>
      </c>
      <c r="G21" s="60" t="s">
        <v>253</v>
      </c>
      <c r="H21" s="60" t="s">
        <v>253</v>
      </c>
      <c r="I21" s="60" t="s">
        <v>253</v>
      </c>
      <c r="J21" s="61" t="s">
        <v>23</v>
      </c>
      <c r="K21" s="60" t="s">
        <v>253</v>
      </c>
      <c r="L21" s="60" t="s">
        <v>253</v>
      </c>
      <c r="M21" s="60" t="s">
        <v>253</v>
      </c>
      <c r="N21" s="60" t="s">
        <v>253</v>
      </c>
      <c r="O21" s="60" t="s">
        <v>253</v>
      </c>
      <c r="P21" s="61" t="s">
        <v>23</v>
      </c>
      <c r="Q21" s="60" t="s">
        <v>253</v>
      </c>
      <c r="R21" s="60" t="s">
        <v>253</v>
      </c>
      <c r="S21" s="61" t="s">
        <v>23</v>
      </c>
      <c r="T21" s="60" t="s">
        <v>253</v>
      </c>
      <c r="U21" s="60" t="s">
        <v>253</v>
      </c>
      <c r="V21" s="60" t="s">
        <v>253</v>
      </c>
      <c r="W21" s="60" t="s">
        <v>253</v>
      </c>
      <c r="X21" s="60" t="s">
        <v>253</v>
      </c>
      <c r="Y21" s="60" t="s">
        <v>253</v>
      </c>
      <c r="Z21" s="60" t="s">
        <v>253</v>
      </c>
      <c r="AA21" s="60" t="s">
        <v>253</v>
      </c>
      <c r="AB21" s="60" t="s">
        <v>253</v>
      </c>
      <c r="AC21" s="21" t="n">
        <f aca="false">COUNTIF(C21:AB21,"P")</f>
        <v>23</v>
      </c>
      <c r="AD21" s="33" t="n">
        <f aca="false">COUNTIF(C21:AB21,"A")</f>
        <v>3</v>
      </c>
      <c r="AE21" s="62" t="n">
        <f aca="false">AC21/26*100</f>
        <v>88.4615384615385</v>
      </c>
    </row>
    <row r="22" customFormat="false" ht="15" hidden="false" customHeight="false" outlineLevel="0" collapsed="false">
      <c r="A22" s="39" t="s">
        <v>192</v>
      </c>
      <c r="B22" s="40" t="s">
        <v>193</v>
      </c>
      <c r="C22" s="60" t="s">
        <v>253</v>
      </c>
      <c r="D22" s="60" t="s">
        <v>253</v>
      </c>
      <c r="E22" s="60" t="s">
        <v>253</v>
      </c>
      <c r="F22" s="61" t="s">
        <v>23</v>
      </c>
      <c r="G22" s="60" t="s">
        <v>253</v>
      </c>
      <c r="H22" s="60" t="s">
        <v>253</v>
      </c>
      <c r="I22" s="60" t="s">
        <v>253</v>
      </c>
      <c r="J22" s="60" t="s">
        <v>253</v>
      </c>
      <c r="K22" s="60" t="s">
        <v>253</v>
      </c>
      <c r="L22" s="61" t="s">
        <v>23</v>
      </c>
      <c r="M22" s="61" t="s">
        <v>23</v>
      </c>
      <c r="N22" s="60" t="s">
        <v>253</v>
      </c>
      <c r="O22" s="60" t="s">
        <v>253</v>
      </c>
      <c r="P22" s="60" t="s">
        <v>253</v>
      </c>
      <c r="Q22" s="60" t="s">
        <v>253</v>
      </c>
      <c r="R22" s="60" t="s">
        <v>253</v>
      </c>
      <c r="S22" s="60" t="s">
        <v>253</v>
      </c>
      <c r="T22" s="60" t="s">
        <v>253</v>
      </c>
      <c r="U22" s="60" t="s">
        <v>253</v>
      </c>
      <c r="V22" s="60" t="s">
        <v>253</v>
      </c>
      <c r="W22" s="60" t="s">
        <v>253</v>
      </c>
      <c r="X22" s="60" t="s">
        <v>253</v>
      </c>
      <c r="Y22" s="60" t="s">
        <v>253</v>
      </c>
      <c r="Z22" s="60" t="s">
        <v>253</v>
      </c>
      <c r="AA22" s="61" t="s">
        <v>23</v>
      </c>
      <c r="AB22" s="60" t="s">
        <v>253</v>
      </c>
      <c r="AC22" s="21" t="n">
        <f aca="false">COUNTIF(C22:AB22,"P")</f>
        <v>22</v>
      </c>
      <c r="AD22" s="33" t="n">
        <f aca="false">COUNTIF(C22:AB22,"A")</f>
        <v>4</v>
      </c>
      <c r="AE22" s="62" t="n">
        <f aca="false">AC22/26*100</f>
        <v>84.6153846153846</v>
      </c>
    </row>
  </sheetData>
  <mergeCells count="1">
    <mergeCell ref="A1:A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2026-05-07T20:25:33Z</dcterms:created>
  <dc:creator>openpyxl</dc:creator>
  <dc:description/>
  <dc:language>en-US</dc:language>
  <cp:lastModifiedBy/>
  <dcterms:modified xsi:type="dcterms:W3CDTF">2026-05-07T20:25:33Z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