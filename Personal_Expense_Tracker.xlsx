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Expense Log" sheetId="2" state="visible" r:id="rId4"/>
    <sheet name="Category Summary" sheetId="3" state="visible" r:id="rId5"/>
    <sheet name="Daily Summary" sheetId="4" state="visible" r:id="rId6"/>
    <sheet name="Payment Analys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<sst xmlns="http://schemas.openxmlformats.org/spreadsheetml/2006/main" count="326" uniqueCount="175">
  <si>
    <t xml:space="preserve">🏠  PERSONAL EXPENSE DASHBOARD  |  May 2025</t>
  </si>
  <si>
    <t xml:space="preserve">💰 Total Spent</t>
  </si>
  <si>
    <t xml:space="preserve">📦 Transactions</t>
  </si>
  <si>
    <t xml:space="preserve">📅 Days Tracked</t>
  </si>
  <si>
    <t xml:space="preserve">📊 Budget Used %</t>
  </si>
  <si>
    <t xml:space="preserve">🍔 Top Category</t>
  </si>
  <si>
    <t xml:space="preserve">💳 Fav Payment</t>
  </si>
  <si>
    <t xml:space="preserve">📈 Avg Daily Spend</t>
  </si>
  <si>
    <t xml:space="preserve">💸 Budget Left</t>
  </si>
  <si>
    <t xml:space="preserve">CATEGORY BREAKDOWN</t>
  </si>
  <si>
    <t xml:space="preserve">💡  SMART MONEY TIPS
✅  Review your expenses every Sunday
✅  The 50/30/20 Rule:
      • 50% Needs (food, bills, rent)
      • 30% Wants (shopping, dining)
      • 20% Savings &amp; investments
✅  Use UPI for all payments to track easily
✅  Set a daily budget limit and stick to it
✅  Avoid impulse shopping — wait 24 hrs
✅  Collect receipts for all major purchases
📌  Add new expenses to the 'Expense Log'
      sheet — all summaries update automatically!</t>
  </si>
  <si>
    <t xml:space="preserve">Category</t>
  </si>
  <si>
    <t xml:space="preserve">Spent</t>
  </si>
  <si>
    <t xml:space="preserve">Budget</t>
  </si>
  <si>
    <t xml:space="preserve">Status</t>
  </si>
  <si>
    <t xml:space="preserve">💸  PERSONAL EXPENSE TRACKER  |  May 2025</t>
  </si>
  <si>
    <t xml:space="preserve">Track every rupee — stay in control of your finances</t>
  </si>
  <si>
    <t xml:space="preserve">#</t>
  </si>
  <si>
    <t xml:space="preserve">Date</t>
  </si>
  <si>
    <t xml:space="preserve">Day</t>
  </si>
  <si>
    <t xml:space="preserve">Sub-Category / Item</t>
  </si>
  <si>
    <t xml:space="preserve">Description</t>
  </si>
  <si>
    <t xml:space="preserve">Amount (₹)</t>
  </si>
  <si>
    <t xml:space="preserve">Payment Method</t>
  </si>
  <si>
    <t xml:space="preserve">Receipt?</t>
  </si>
  <si>
    <t xml:space="preserve">Notes</t>
  </si>
  <si>
    <t xml:space="preserve">01/05/2025</t>
  </si>
  <si>
    <t xml:space="preserve">Food &amp; Dining</t>
  </si>
  <si>
    <t xml:space="preserve">Groceries</t>
  </si>
  <si>
    <t xml:space="preserve">Monthly vegetable &amp; fruit purchase</t>
  </si>
  <si>
    <t xml:space="preserve">Cash</t>
  </si>
  <si>
    <t xml:space="preserve">Yes</t>
  </si>
  <si>
    <t xml:space="preserve">Monthly stock</t>
  </si>
  <si>
    <t xml:space="preserve">Travel &amp; Fuel</t>
  </si>
  <si>
    <t xml:space="preserve">Metro Card Recharge</t>
  </si>
  <si>
    <t xml:space="preserve">Monthly metro pass</t>
  </si>
  <si>
    <t xml:space="preserve">UPI</t>
  </si>
  <si>
    <t xml:space="preserve">No</t>
  </si>
  <si>
    <t xml:space="preserve">—</t>
  </si>
  <si>
    <t xml:space="preserve">02/05/2025</t>
  </si>
  <si>
    <t xml:space="preserve">Restaurant</t>
  </si>
  <si>
    <t xml:space="preserve">Lunch with colleagues</t>
  </si>
  <si>
    <t xml:space="preserve">Credit Card</t>
  </si>
  <si>
    <t xml:space="preserve">Team lunch</t>
  </si>
  <si>
    <t xml:space="preserve">Petrol</t>
  </si>
  <si>
    <t xml:space="preserve">Fuel refill</t>
  </si>
  <si>
    <t xml:space="preserve">Full tank</t>
  </si>
  <si>
    <t xml:space="preserve">03/05/2025</t>
  </si>
  <si>
    <t xml:space="preserve">Entertainment</t>
  </si>
  <si>
    <t xml:space="preserve">Movie Tickets</t>
  </si>
  <si>
    <t xml:space="preserve">Weekend movie – 2 tickets</t>
  </si>
  <si>
    <t xml:space="preserve">Debit Card</t>
  </si>
  <si>
    <t xml:space="preserve">Saturday</t>
  </si>
  <si>
    <t xml:space="preserve">Popcorn &amp; Snacks</t>
  </si>
  <si>
    <t xml:space="preserve">Cinema snacks</t>
  </si>
  <si>
    <t xml:space="preserve">04/05/2025</t>
  </si>
  <si>
    <t xml:space="preserve">Utilities &amp; Bills</t>
  </si>
  <si>
    <t xml:space="preserve">Electricity Bill</t>
  </si>
  <si>
    <t xml:space="preserve">May electricity bill</t>
  </si>
  <si>
    <t xml:space="preserve">Net Banking</t>
  </si>
  <si>
    <t xml:space="preserve">PSPCL</t>
  </si>
  <si>
    <t xml:space="preserve">Internet Bill</t>
  </si>
  <si>
    <t xml:space="preserve">Broadband monthly plan</t>
  </si>
  <si>
    <t xml:space="preserve">Jio Fiber</t>
  </si>
  <si>
    <t xml:space="preserve">05/05/2025</t>
  </si>
  <si>
    <t xml:space="preserve">Health &amp; Medical</t>
  </si>
  <si>
    <t xml:space="preserve">Medicine</t>
  </si>
  <si>
    <t xml:space="preserve">Blood pressure tablets</t>
  </si>
  <si>
    <t xml:space="preserve">Monthly meds</t>
  </si>
  <si>
    <t xml:space="preserve">Doctor Visit</t>
  </si>
  <si>
    <t xml:space="preserve">General checkup</t>
  </si>
  <si>
    <t xml:space="preserve">06/05/2025</t>
  </si>
  <si>
    <t xml:space="preserve">Education</t>
  </si>
  <si>
    <t xml:space="preserve">Online Course</t>
  </si>
  <si>
    <t xml:space="preserve">Python course subscription</t>
  </si>
  <si>
    <t xml:space="preserve">Udemy</t>
  </si>
  <si>
    <t xml:space="preserve">Books</t>
  </si>
  <si>
    <t xml:space="preserve">Data science books x2</t>
  </si>
  <si>
    <t xml:space="preserve">Amazon</t>
  </si>
  <si>
    <t xml:space="preserve">07/05/2025</t>
  </si>
  <si>
    <t xml:space="preserve">Shopping</t>
  </si>
  <si>
    <t xml:space="preserve">Clothes</t>
  </si>
  <si>
    <t xml:space="preserve">Summer kurtas x3</t>
  </si>
  <si>
    <t xml:space="preserve">Shoes</t>
  </si>
  <si>
    <t xml:space="preserve">Running shoes</t>
  </si>
  <si>
    <t xml:space="preserve">Sports brand</t>
  </si>
  <si>
    <t xml:space="preserve">08/05/2025</t>
  </si>
  <si>
    <t xml:space="preserve">Swiggy Order</t>
  </si>
  <si>
    <t xml:space="preserve">Dinner delivery</t>
  </si>
  <si>
    <t xml:space="preserve">Wallet</t>
  </si>
  <si>
    <t xml:space="preserve">Cab Ride</t>
  </si>
  <si>
    <t xml:space="preserve">Office commute – rain</t>
  </si>
  <si>
    <t xml:space="preserve">Ola</t>
  </si>
  <si>
    <t xml:space="preserve">09/05/2025</t>
  </si>
  <si>
    <t xml:space="preserve">Gym Membership</t>
  </si>
  <si>
    <t xml:space="preserve">Monthly gym fee</t>
  </si>
  <si>
    <t xml:space="preserve">Weekly grocery run</t>
  </si>
  <si>
    <t xml:space="preserve">10/05/2025</t>
  </si>
  <si>
    <t xml:space="preserve">Mobile Recharge</t>
  </si>
  <si>
    <t xml:space="preserve">Prepaid plan 84 days</t>
  </si>
  <si>
    <t xml:space="preserve">Airtel</t>
  </si>
  <si>
    <t xml:space="preserve">Others</t>
  </si>
  <si>
    <t xml:space="preserve">Stationery</t>
  </si>
  <si>
    <t xml:space="preserve">Notebooks and pens</t>
  </si>
  <si>
    <t xml:space="preserve">Office supplies</t>
  </si>
  <si>
    <t xml:space="preserve">11/05/2025</t>
  </si>
  <si>
    <t xml:space="preserve">Cafe</t>
  </si>
  <si>
    <t xml:space="preserve">Coffee &amp; snacks – client meet</t>
  </si>
  <si>
    <t xml:space="preserve">Parking</t>
  </si>
  <si>
    <t xml:space="preserve">Airport parking 3 hrs</t>
  </si>
  <si>
    <t xml:space="preserve">12/05/2025</t>
  </si>
  <si>
    <t xml:space="preserve">Weekend Trip Fuel</t>
  </si>
  <si>
    <t xml:space="preserve">Amritsar–Chandigarh–Amritsar</t>
  </si>
  <si>
    <t xml:space="preserve">Family trip</t>
  </si>
  <si>
    <t xml:space="preserve">Hotel</t>
  </si>
  <si>
    <t xml:space="preserve">1-night stay Chandigarh</t>
  </si>
  <si>
    <t xml:space="preserve">Oyo</t>
  </si>
  <si>
    <t xml:space="preserve">13/05/2025</t>
  </si>
  <si>
    <t xml:space="preserve">Dining Out</t>
  </si>
  <si>
    <t xml:space="preserve">Family dinner at dhaba</t>
  </si>
  <si>
    <t xml:space="preserve">14/05/2025</t>
  </si>
  <si>
    <t xml:space="preserve">Vegetables</t>
  </si>
  <si>
    <t xml:space="preserve">Daily veggies</t>
  </si>
  <si>
    <t xml:space="preserve">Water Bill</t>
  </si>
  <si>
    <t xml:space="preserve">Monthly water charge</t>
  </si>
  <si>
    <t xml:space="preserve">15/05/2025</t>
  </si>
  <si>
    <t xml:space="preserve">Savings Transfer</t>
  </si>
  <si>
    <t xml:space="preserve">Transfer to savings</t>
  </si>
  <si>
    <t xml:space="preserve">Monthly saving</t>
  </si>
  <si>
    <t xml:space="preserve">Haircut</t>
  </si>
  <si>
    <t xml:space="preserve">Salon visit</t>
  </si>
  <si>
    <t xml:space="preserve">16/05/2025</t>
  </si>
  <si>
    <t xml:space="preserve">Online Shopping</t>
  </si>
  <si>
    <t xml:space="preserve">Earbuds purchase</t>
  </si>
  <si>
    <t xml:space="preserve">TOTAL EXPENSES</t>
  </si>
  <si>
    <t xml:space="preserve">📊  EXPENSE SUMMARY BY CATEGORY</t>
  </si>
  <si>
    <t xml:space="preserve">Total Spent (₹)</t>
  </si>
  <si>
    <t xml:space="preserve">Transactions</t>
  </si>
  <si>
    <t xml:space="preserve">Avg per Txn (₹)</t>
  </si>
  <si>
    <t xml:space="preserve">% of Total</t>
  </si>
  <si>
    <t xml:space="preserve">Budget (₹)</t>
  </si>
  <si>
    <t xml:space="preserve">Remaining (₹)</t>
  </si>
  <si>
    <t xml:space="preserve">GRAND TOTAL</t>
  </si>
  <si>
    <t xml:space="preserve">📅  DAILY EXPENSE SUMMARY — May 2025</t>
  </si>
  <si>
    <t xml:space="preserve">Highest Single Expense (₹)</t>
  </si>
  <si>
    <t xml:space="preserve">Remark</t>
  </si>
  <si>
    <t xml:space="preserve">Thursday</t>
  </si>
  <si>
    <t xml:space="preserve">Month start essentials</t>
  </si>
  <si>
    <t xml:space="preserve">Friday</t>
  </si>
  <si>
    <t xml:space="preserve">Work day + commute</t>
  </si>
  <si>
    <t xml:space="preserve">Weekend leisure</t>
  </si>
  <si>
    <t xml:space="preserve">Sunday</t>
  </si>
  <si>
    <t xml:space="preserve">Bills day</t>
  </si>
  <si>
    <t xml:space="preserve">Monday</t>
  </si>
  <si>
    <t xml:space="preserve">Health expenses</t>
  </si>
  <si>
    <t xml:space="preserve">Tuesday</t>
  </si>
  <si>
    <t xml:space="preserve">Learning &amp; growth</t>
  </si>
  <si>
    <t xml:space="preserve">Wednesday</t>
  </si>
  <si>
    <t xml:space="preserve">Shopping spree</t>
  </si>
  <si>
    <t xml:space="preserve">Food &amp; commute</t>
  </si>
  <si>
    <t xml:space="preserve">Fitness + grocery</t>
  </si>
  <si>
    <t xml:space="preserve">Utilities &amp; misc</t>
  </si>
  <si>
    <t xml:space="preserve">Work meet + travel</t>
  </si>
  <si>
    <t xml:space="preserve">Family trip day 1</t>
  </si>
  <si>
    <t xml:space="preserve">Family trip day 2</t>
  </si>
  <si>
    <t xml:space="preserve">Routine expenses</t>
  </si>
  <si>
    <t xml:space="preserve">Saving + self-care</t>
  </si>
  <si>
    <t xml:space="preserve">Online shopping</t>
  </si>
  <si>
    <t xml:space="preserve">MONTHLY TOTAL</t>
  </si>
  <si>
    <t xml:space="preserve">Avg daily shown in col E</t>
  </si>
  <si>
    <t xml:space="preserve">💳  PAYMENT METHOD ANALYSIS</t>
  </si>
  <si>
    <t xml:space="preserve">Times Used</t>
  </si>
  <si>
    <t xml:space="preserve">Avg Transaction (₹)</t>
  </si>
  <si>
    <t xml:space="preserve">% of Spend</t>
  </si>
  <si>
    <t xml:space="preserve">% of Count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</si>
</sst>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"/>
    <numFmt numFmtId="166" formatCode="0"/>
    <numFmt numFmtId="167" formatCode="0.0\%"/>
    <numFmt numFmtId="168" formatCode="General"/>
  </numFmts>
  <fonts count="5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22"/>
      <color rgb="FF000000"/>
      <name val="Arial"/>
      <family val="0"/>
      <charset val="1"/>
    </font>
    <font>
      <sz val="11"/>
      <color rgb="FF1A3C5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10"/>
      <color rgb="FF1A3C5E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2E86C1"/>
      <name val="Arial"/>
      <family val="0"/>
      <charset val="1"/>
    </font>
    <font>
      <b val="true"/>
      <sz val="9"/>
      <color rgb="FF6C3483"/>
      <name val="Arial"/>
      <family val="0"/>
      <charset val="1"/>
    </font>
    <font>
      <b val="true"/>
      <sz val="9"/>
      <color rgb="FFE67E22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B7950B"/>
      <name val="Arial"/>
      <family val="0"/>
      <charset val="1"/>
    </font>
    <font>
      <b val="true"/>
      <sz val="9"/>
      <color rgb="FF0E7C7B"/>
      <name val="Arial"/>
      <family val="0"/>
      <charset val="1"/>
    </font>
    <font>
      <b val="true"/>
      <sz val="9"/>
      <color rgb="FF5D6D7E"/>
      <name val="Arial"/>
      <family val="0"/>
      <charset val="1"/>
    </font>
    <font>
      <i val="true"/>
      <sz val="11"/>
      <color rgb="FF5D6D7E"/>
      <name val="Arial"/>
      <family val="0"/>
      <charset val="1"/>
    </font>
    <font>
      <sz val="9"/>
      <color rgb="FF5D6D7E"/>
      <name val="Arial"/>
      <family val="0"/>
      <charset val="1"/>
    </font>
    <font>
      <sz val="10"/>
      <color rgb="FF1A1A1A"/>
      <name val="Arial"/>
      <family val="0"/>
      <charset val="1"/>
    </font>
    <font>
      <i val="true"/>
      <sz val="9"/>
      <color rgb="FF5D6D7E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1"/>
      <color rgb="FF1A3C5E"/>
      <name val="Arial"/>
      <family val="0"/>
      <charset val="1"/>
    </font>
    <font>
      <b val="true"/>
      <sz val="10"/>
      <color rgb="FF2E86C1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B7950B"/>
      <name val="Arial"/>
      <family val="0"/>
      <charset val="1"/>
    </font>
    <font>
      <b val="true"/>
      <sz val="10"/>
      <color rgb="FF0E7C7B"/>
      <name val="Arial"/>
      <family val="0"/>
      <charset val="1"/>
    </font>
    <font>
      <b val="true"/>
      <sz val="10"/>
      <color rgb="FF6C3483"/>
      <name val="Arial"/>
      <family val="0"/>
      <charset val="1"/>
    </font>
    <font>
      <b val="true"/>
      <sz val="10"/>
      <color rgb="FF5D6D7E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5D6D7E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1E8449"/>
      <name val="Arial"/>
      <family val="0"/>
      <charset val="1"/>
    </font>
    <font>
      <b val="true"/>
      <sz val="11"/>
      <color rgb="FF2E86C1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1"/>
      <color rgb="FF6C3483"/>
      <name val="Arial"/>
      <family val="0"/>
      <charset val="1"/>
    </font>
    <font>
      <b val="true"/>
      <sz val="11"/>
      <color rgb="FFB7950B"/>
      <name val="Arial"/>
      <family val="0"/>
      <charset val="1"/>
    </font>
    <font>
      <b val="true"/>
      <sz val="11"/>
      <color rgb="FFE67E22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A3C5E"/>
        <bgColor rgb="FF333399"/>
      </patternFill>
    </fill>
    <fill>
      <patternFill patternType="solid">
        <fgColor rgb="FF0E7C7B"/>
        <bgColor rgb="FF008080"/>
      </patternFill>
    </fill>
    <fill>
      <patternFill patternType="solid">
        <fgColor rgb="FF2E86C1"/>
        <bgColor rgb="FF0E7C7B"/>
      </patternFill>
    </fill>
    <fill>
      <patternFill patternType="solid">
        <fgColor rgb="FFE67E22"/>
        <bgColor rgb="FFFF9900"/>
      </patternFill>
    </fill>
    <fill>
      <patternFill patternType="solid">
        <fgColor rgb="FF1E8449"/>
        <bgColor rgb="FF0E7C7B"/>
      </patternFill>
    </fill>
    <fill>
      <patternFill patternType="solid">
        <fgColor rgb="FF6C3483"/>
        <bgColor rgb="FF993366"/>
      </patternFill>
    </fill>
    <fill>
      <patternFill patternType="solid">
        <fgColor rgb="FFB7950B"/>
        <bgColor rgb="FFE67E22"/>
      </patternFill>
    </fill>
    <fill>
      <patternFill patternType="solid">
        <fgColor rgb="FFC0392B"/>
        <bgColor rgb="FF993366"/>
      </patternFill>
    </fill>
    <fill>
      <patternFill patternType="solid">
        <fgColor rgb="FFFEF9E7"/>
        <bgColor rgb="FFF4F6F7"/>
      </patternFill>
    </fill>
    <fill>
      <patternFill patternType="solid">
        <fgColor rgb="FFD5F5E3"/>
        <bgColor rgb="FFD4EFEF"/>
      </patternFill>
    </fill>
    <fill>
      <patternFill patternType="solid">
        <fgColor rgb="FFD6EAF8"/>
        <bgColor rgb="FFD4EFEF"/>
      </patternFill>
    </fill>
    <fill>
      <patternFill patternType="solid">
        <fgColor rgb="FFE8DAEF"/>
        <bgColor rgb="FFFADBD8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E8DAEF"/>
      </patternFill>
    </fill>
    <fill>
      <patternFill patternType="solid">
        <fgColor rgb="FFD4EFEF"/>
        <bgColor rgb="FFD6EAF8"/>
      </patternFill>
    </fill>
    <fill>
      <patternFill patternType="solid">
        <fgColor rgb="FFF4F6F7"/>
        <bgColor rgb="FFFEF9E7"/>
      </patternFill>
    </fill>
    <fill>
      <patternFill patternType="solid">
        <fgColor rgb="FFFFFFFF"/>
        <bgColor rgb="FFFEF9E7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1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7" fillId="1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7" fillId="1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6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9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9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1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9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1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9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1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9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9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1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9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1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9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1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9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1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9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1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9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1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5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9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0E7C7B"/>
      <rgbColor rgb="FFF4F6F7"/>
      <rgbColor rgb="FF808080"/>
      <rgbColor rgb="FF9999FF"/>
      <rgbColor rgb="FF6C3483"/>
      <rgbColor rgb="FFFEF9E7"/>
      <rgbColor rgb="FFD4EFEF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BD0"/>
      <rgbColor rgb="FF99CCFF"/>
      <rgbColor rgb="FFFF99CC"/>
      <rgbColor rgb="FFCC99FF"/>
      <rgbColor rgb="FFFADBD8"/>
      <rgbColor rgb="FF2E86C1"/>
      <rgbColor rgb="FF33CCCC"/>
      <rgbColor rgb="FF99CC00"/>
      <rgbColor rgb="FFFFCC00"/>
      <rgbColor rgb="FFFF9900"/>
      <rgbColor rgb="FFE67E22"/>
      <rgbColor rgb="FF5D6D7E"/>
      <rgbColor rgb="FF969696"/>
      <rgbColor rgb="FF1A3C5E"/>
      <rgbColor rgb="FF1E8449"/>
      <rgbColor rgb="FF003300"/>
      <rgbColor rgb="FF333300"/>
      <rgbColor rgb="FFC0392B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15"/>
  </cols>
  <sheetData>
    <row r="1" customFormat="false" ht="4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3.75" hidden="false" customHeight="true" outlineLevel="0" collapsed="false">
      <c r="A2" s="3" t="s">
        <v>1</v>
      </c>
      <c r="B2" s="3"/>
      <c r="C2" s="3"/>
      <c r="D2" s="4" t="s">
        <v>2</v>
      </c>
      <c r="E2" s="4"/>
      <c r="F2" s="4"/>
      <c r="G2" s="5" t="s">
        <v>3</v>
      </c>
      <c r="H2" s="5"/>
      <c r="I2" s="5"/>
      <c r="J2" s="6" t="s">
        <v>4</v>
      </c>
      <c r="K2" s="6"/>
      <c r="L2" s="6"/>
    </row>
    <row r="3" customFormat="false" ht="54" hidden="false" customHeight="true" outlineLevel="0" collapsed="false">
      <c r="A3" s="7" t="n">
        <f aca="false">'Expense Log'!G34</f>
        <v>33665</v>
      </c>
      <c r="B3" s="7"/>
      <c r="C3" s="7"/>
      <c r="D3" s="8" t="n">
        <f aca="false">COUNTA('Expense Log'!G4:G33)</f>
        <v>30</v>
      </c>
      <c r="E3" s="8"/>
      <c r="F3" s="8"/>
      <c r="G3" s="9" t="n">
        <f aca="false">COUNTA('Daily Summary'!A3:A18)</f>
        <v>16</v>
      </c>
      <c r="H3" s="9"/>
      <c r="I3" s="9"/>
      <c r="J3" s="10" t="n">
        <f aca="false">IFERROR('Expense Log'!G34/SUM('Category Summary'!F3:F10)*100,0)</f>
        <v>84.1625</v>
      </c>
      <c r="K3" s="10"/>
      <c r="L3" s="10"/>
    </row>
    <row r="4" customFormat="false" ht="19.5" hidden="false" customHeight="true" outlineLevel="0" collapsed="false"/>
    <row r="5" customFormat="false" ht="33.75" hidden="false" customHeight="true" outlineLevel="0" collapsed="false">
      <c r="A5" s="11" t="s">
        <v>5</v>
      </c>
      <c r="B5" s="11"/>
      <c r="C5" s="11"/>
      <c r="D5" s="12" t="s">
        <v>6</v>
      </c>
      <c r="E5" s="12"/>
      <c r="F5" s="12"/>
      <c r="G5" s="13" t="s">
        <v>7</v>
      </c>
      <c r="H5" s="13"/>
      <c r="I5" s="13"/>
      <c r="J5" s="14" t="s">
        <v>8</v>
      </c>
      <c r="K5" s="14"/>
      <c r="L5" s="14"/>
    </row>
    <row r="6" customFormat="false" ht="54" hidden="false" customHeight="true" outlineLevel="0" collapsed="false">
      <c r="A6" s="15" t="str">
        <f aca="false">INDEX('Category Summary'!A3:A10,MATCH(MAX('Category Summary'!B3:B10),'Category Summary'!B3:B10,0))</f>
        <v>Food &amp; Dining</v>
      </c>
      <c r="B6" s="15"/>
      <c r="C6" s="15"/>
      <c r="D6" s="16" t="str">
        <f aca="false">INDEX('Payment Analysis'!A3:A8,MATCH(MAX('Payment Analysis'!B3:B8),'Payment Analysis'!B3:B8,0))</f>
        <v>Cash</v>
      </c>
      <c r="E6" s="16"/>
      <c r="F6" s="16"/>
      <c r="G6" s="17" t="n">
        <f aca="false">IFERROR('Expense Log'!G34/COUNTA('Daily Summary'!A3:A18),0)</f>
        <v>2104.0625</v>
      </c>
      <c r="H6" s="17"/>
      <c r="I6" s="17"/>
      <c r="J6" s="18" t="n">
        <f aca="false">SUM('Category Summary'!G3:G10)</f>
        <v>6335</v>
      </c>
      <c r="K6" s="18"/>
      <c r="L6" s="18"/>
    </row>
    <row r="8" customFormat="false" ht="30" hidden="false" customHeight="true" outlineLevel="0" collapsed="false">
      <c r="A8" s="19" t="s">
        <v>9</v>
      </c>
      <c r="B8" s="19"/>
      <c r="C8" s="19"/>
      <c r="D8" s="19"/>
      <c r="F8" s="20" t="s">
        <v>10</v>
      </c>
      <c r="G8" s="20"/>
      <c r="H8" s="20"/>
      <c r="I8" s="20"/>
      <c r="J8" s="20"/>
      <c r="K8" s="20"/>
      <c r="L8" s="20"/>
    </row>
    <row r="9" customFormat="false" ht="30" hidden="false" customHeight="true" outlineLevel="0" collapsed="false">
      <c r="A9" s="21" t="s">
        <v>11</v>
      </c>
      <c r="B9" s="21" t="s">
        <v>12</v>
      </c>
      <c r="C9" s="21" t="s">
        <v>13</v>
      </c>
      <c r="D9" s="21" t="s">
        <v>14</v>
      </c>
      <c r="F9" s="20"/>
      <c r="G9" s="20"/>
      <c r="H9" s="20"/>
      <c r="I9" s="20"/>
      <c r="J9" s="20"/>
      <c r="K9" s="20"/>
      <c r="L9" s="20"/>
    </row>
    <row r="10" customFormat="false" ht="21.75" hidden="false" customHeight="true" outlineLevel="0" collapsed="false">
      <c r="A10" s="22" t="str">
        <f aca="false">'Category Summary'!A5</f>
        <v>Shopping</v>
      </c>
      <c r="B10" s="23" t="n">
        <f aca="false">'Category Summary'!B5</f>
        <v>5848</v>
      </c>
      <c r="C10" s="24" t="n">
        <f aca="false">'Category Summary'!F5</f>
        <v>6000</v>
      </c>
      <c r="D10" s="25" t="str">
        <f aca="false">'Category Summary'!H5</f>
        <v>⚡ Near Limit</v>
      </c>
      <c r="F10" s="20"/>
      <c r="G10" s="20"/>
      <c r="H10" s="20"/>
      <c r="I10" s="20"/>
      <c r="J10" s="20"/>
      <c r="K10" s="20"/>
      <c r="L10" s="20"/>
    </row>
    <row r="11" customFormat="false" ht="21.75" hidden="false" customHeight="true" outlineLevel="0" collapsed="false">
      <c r="A11" s="26" t="str">
        <f aca="false">'Category Summary'!A6</f>
        <v>Entertainment</v>
      </c>
      <c r="B11" s="27" t="n">
        <f aca="false">'Category Summary'!B6</f>
        <v>4380</v>
      </c>
      <c r="C11" s="28" t="n">
        <f aca="false">'Category Summary'!F6</f>
        <v>4000</v>
      </c>
      <c r="D11" s="29" t="str">
        <f aca="false">'Category Summary'!H6</f>
        <v>⚠ Over Budget</v>
      </c>
      <c r="F11" s="20"/>
      <c r="G11" s="20"/>
      <c r="H11" s="20"/>
      <c r="I11" s="20"/>
      <c r="J11" s="20"/>
      <c r="K11" s="20"/>
      <c r="L11" s="20"/>
    </row>
    <row r="12" customFormat="false" ht="21.75" hidden="false" customHeight="true" outlineLevel="0" collapsed="false">
      <c r="A12" s="30" t="str">
        <f aca="false">'Category Summary'!A7</f>
        <v>Health &amp; Medical</v>
      </c>
      <c r="B12" s="31" t="n">
        <f aca="false">'Category Summary'!B7</f>
        <v>2020</v>
      </c>
      <c r="C12" s="32" t="n">
        <f aca="false">'Category Summary'!F7</f>
        <v>3000</v>
      </c>
      <c r="D12" s="33" t="str">
        <f aca="false">'Category Summary'!H7</f>
        <v>✅ On Track</v>
      </c>
      <c r="F12" s="20"/>
      <c r="G12" s="20"/>
      <c r="H12" s="20"/>
      <c r="I12" s="20"/>
      <c r="J12" s="20"/>
      <c r="K12" s="20"/>
      <c r="L12" s="20"/>
    </row>
    <row r="13" customFormat="false" ht="21.75" hidden="false" customHeight="true" outlineLevel="0" collapsed="false">
      <c r="A13" s="34" t="str">
        <f aca="false">'Category Summary'!A8</f>
        <v>Utilities &amp; Bills</v>
      </c>
      <c r="B13" s="35" t="n">
        <f aca="false">'Category Summary'!B8</f>
        <v>2958</v>
      </c>
      <c r="C13" s="36" t="n">
        <f aca="false">'Category Summary'!F8</f>
        <v>4000</v>
      </c>
      <c r="D13" s="37" t="str">
        <f aca="false">'Category Summary'!H8</f>
        <v>✅ On Track</v>
      </c>
      <c r="F13" s="20"/>
      <c r="G13" s="20"/>
      <c r="H13" s="20"/>
      <c r="I13" s="20"/>
      <c r="J13" s="20"/>
      <c r="K13" s="20"/>
      <c r="L13" s="20"/>
    </row>
    <row r="14" customFormat="false" ht="21.75" hidden="false" customHeight="true" outlineLevel="0" collapsed="false">
      <c r="A14" s="38" t="str">
        <f aca="false">'Category Summary'!A9</f>
        <v>Education</v>
      </c>
      <c r="B14" s="39" t="n">
        <f aca="false">'Category Summary'!B9</f>
        <v>2149</v>
      </c>
      <c r="C14" s="40" t="n">
        <f aca="false">'Category Summary'!F9</f>
        <v>3000</v>
      </c>
      <c r="D14" s="41" t="str">
        <f aca="false">'Category Summary'!H9</f>
        <v>✅ On Track</v>
      </c>
      <c r="F14" s="20"/>
      <c r="G14" s="20"/>
      <c r="H14" s="20"/>
      <c r="I14" s="20"/>
      <c r="J14" s="20"/>
      <c r="K14" s="20"/>
      <c r="L14" s="20"/>
    </row>
    <row r="15" customFormat="false" ht="21.75" hidden="false" customHeight="true" outlineLevel="0" collapsed="false">
      <c r="A15" s="42" t="str">
        <f aca="false">'Category Summary'!A10</f>
        <v>Others</v>
      </c>
      <c r="B15" s="43" t="n">
        <f aca="false">'Category Summary'!B10</f>
        <v>5430</v>
      </c>
      <c r="C15" s="44" t="n">
        <f aca="false">'Category Summary'!F10</f>
        <v>7000</v>
      </c>
      <c r="D15" s="45" t="str">
        <f aca="false">'Category Summary'!H10</f>
        <v>✅ On Track</v>
      </c>
      <c r="F15" s="20"/>
      <c r="G15" s="20"/>
      <c r="H15" s="20"/>
      <c r="I15" s="20"/>
      <c r="J15" s="20"/>
      <c r="K15" s="20"/>
      <c r="L15" s="20"/>
    </row>
    <row r="16" customFormat="false" ht="21.75" hidden="false" customHeight="true" outlineLevel="0" collapsed="false">
      <c r="A16" s="46" t="str">
        <f aca="false">'Category Summary'!A11</f>
        <v>GRAND TOTAL</v>
      </c>
      <c r="B16" s="47" t="n">
        <f aca="false">'Category Summary'!B11</f>
        <v>33665</v>
      </c>
      <c r="C16" s="48" t="n">
        <f aca="false">'Category Summary'!F11</f>
        <v>40000</v>
      </c>
      <c r="D16" s="49" t="n">
        <f aca="false">'Category Summary'!H11</f>
        <v>0</v>
      </c>
      <c r="F16" s="20"/>
      <c r="G16" s="20"/>
      <c r="H16" s="20"/>
      <c r="I16" s="20"/>
      <c r="J16" s="20"/>
      <c r="K16" s="20"/>
      <c r="L16" s="20"/>
    </row>
    <row r="17" customFormat="false" ht="21.75" hidden="false" customHeight="true" outlineLevel="0" collapsed="false">
      <c r="A17" s="50" t="n">
        <f aca="false">'Category Summary'!A12</f>
        <v>0</v>
      </c>
      <c r="B17" s="51" t="n">
        <f aca="false">'Category Summary'!B12</f>
        <v>0</v>
      </c>
      <c r="C17" s="52" t="n">
        <f aca="false">'Category Summary'!F12</f>
        <v>0</v>
      </c>
      <c r="D17" s="53" t="n">
        <f aca="false">'Category Summary'!H12</f>
        <v>0</v>
      </c>
      <c r="F17" s="20"/>
      <c r="G17" s="20"/>
      <c r="H17" s="20"/>
      <c r="I17" s="20"/>
      <c r="J17" s="20"/>
      <c r="K17" s="20"/>
      <c r="L17" s="20"/>
    </row>
    <row r="18" customFormat="false" ht="21.75" hidden="false" customHeight="true" outlineLevel="0" collapsed="false">
      <c r="F18" s="20"/>
      <c r="G18" s="20"/>
      <c r="H18" s="20"/>
      <c r="I18" s="20"/>
      <c r="J18" s="20"/>
      <c r="K18" s="20"/>
      <c r="L18" s="20"/>
    </row>
    <row r="19" customFormat="false" ht="21.75" hidden="false" customHeight="true" outlineLevel="0" collapsed="false">
      <c r="F19" s="20"/>
      <c r="G19" s="20"/>
      <c r="H19" s="20"/>
      <c r="I19" s="20"/>
      <c r="J19" s="20"/>
      <c r="K19" s="20"/>
      <c r="L19" s="20"/>
    </row>
  </sheetData>
  <mergeCells count="19">
    <mergeCell ref="A1:L1"/>
    <mergeCell ref="A2:C2"/>
    <mergeCell ref="D2:F2"/>
    <mergeCell ref="G2:I2"/>
    <mergeCell ref="J2:L2"/>
    <mergeCell ref="A3:C3"/>
    <mergeCell ref="D3:F3"/>
    <mergeCell ref="G3:I3"/>
    <mergeCell ref="J3:L3"/>
    <mergeCell ref="A5:C5"/>
    <mergeCell ref="D5:F5"/>
    <mergeCell ref="G5:I5"/>
    <mergeCell ref="J5:L5"/>
    <mergeCell ref="A6:C6"/>
    <mergeCell ref="D6:F6"/>
    <mergeCell ref="G6:I6"/>
    <mergeCell ref="J6:L6"/>
    <mergeCell ref="A8:D8"/>
    <mergeCell ref="F8:L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32"/>
    <col collapsed="false" customWidth="true" hidden="false" outlineLevel="0" max="7" min="7" style="1" width="13"/>
    <col collapsed="false" customWidth="true" hidden="false" outlineLevel="0" max="8" min="8" style="1" width="15"/>
    <col collapsed="false" customWidth="true" hidden="false" outlineLevel="0" max="9" min="9" style="1" width="10"/>
    <col collapsed="false" customWidth="true" hidden="false" outlineLevel="0" max="10" min="10" style="1" width="22"/>
  </cols>
  <sheetData>
    <row r="1" customFormat="false" ht="48" hidden="false" customHeight="true" outlineLevel="0" collapsed="false">
      <c r="A1" s="2" t="s">
        <v>15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4" hidden="false" customHeight="true" outlineLevel="0" collapsed="false">
      <c r="A2" s="54" t="s">
        <v>16</v>
      </c>
      <c r="B2" s="54"/>
      <c r="C2" s="54"/>
      <c r="D2" s="54"/>
      <c r="E2" s="54"/>
      <c r="F2" s="54"/>
      <c r="G2" s="54"/>
      <c r="H2" s="54"/>
      <c r="I2" s="54"/>
      <c r="J2" s="54"/>
    </row>
    <row r="3" customFormat="false" ht="36" hidden="false" customHeight="true" outlineLevel="0" collapsed="false">
      <c r="A3" s="55" t="s">
        <v>17</v>
      </c>
      <c r="B3" s="55" t="s">
        <v>18</v>
      </c>
      <c r="C3" s="55" t="s">
        <v>19</v>
      </c>
      <c r="D3" s="55" t="s">
        <v>11</v>
      </c>
      <c r="E3" s="55" t="s">
        <v>20</v>
      </c>
      <c r="F3" s="55" t="s">
        <v>21</v>
      </c>
      <c r="G3" s="55" t="s">
        <v>22</v>
      </c>
      <c r="H3" s="55" t="s">
        <v>23</v>
      </c>
      <c r="I3" s="55" t="s">
        <v>24</v>
      </c>
      <c r="J3" s="55" t="s">
        <v>25</v>
      </c>
    </row>
    <row r="4" customFormat="false" ht="21.75" hidden="false" customHeight="true" outlineLevel="0" collapsed="false">
      <c r="A4" s="56" t="n">
        <v>1</v>
      </c>
      <c r="B4" s="57" t="s">
        <v>26</v>
      </c>
      <c r="C4" s="58" t="str">
        <f aca="false">IFERROR(TEXT(DATEVALUE(B4),"dddd"),"")</f>
        <v>Sunday</v>
      </c>
      <c r="D4" s="59" t="s">
        <v>27</v>
      </c>
      <c r="E4" s="60" t="s">
        <v>28</v>
      </c>
      <c r="F4" s="61" t="s">
        <v>29</v>
      </c>
      <c r="G4" s="62" t="n">
        <v>1850</v>
      </c>
      <c r="H4" s="63" t="s">
        <v>30</v>
      </c>
      <c r="I4" s="64" t="s">
        <v>31</v>
      </c>
      <c r="J4" s="65" t="s">
        <v>32</v>
      </c>
    </row>
    <row r="5" customFormat="false" ht="21.75" hidden="false" customHeight="true" outlineLevel="0" collapsed="false">
      <c r="A5" s="66" t="n">
        <v>2</v>
      </c>
      <c r="B5" s="67" t="s">
        <v>26</v>
      </c>
      <c r="C5" s="68" t="str">
        <f aca="false">IFERROR(TEXT(DATEVALUE(B5),"dddd"),"")</f>
        <v>Sunday</v>
      </c>
      <c r="D5" s="69" t="s">
        <v>33</v>
      </c>
      <c r="E5" s="70" t="s">
        <v>34</v>
      </c>
      <c r="F5" s="71" t="s">
        <v>35</v>
      </c>
      <c r="G5" s="72" t="n">
        <v>500</v>
      </c>
      <c r="H5" s="73" t="s">
        <v>36</v>
      </c>
      <c r="I5" s="74" t="s">
        <v>37</v>
      </c>
      <c r="J5" s="75" t="s">
        <v>38</v>
      </c>
    </row>
    <row r="6" customFormat="false" ht="21.75" hidden="false" customHeight="true" outlineLevel="0" collapsed="false">
      <c r="A6" s="56" t="n">
        <v>3</v>
      </c>
      <c r="B6" s="57" t="s">
        <v>39</v>
      </c>
      <c r="C6" s="58" t="str">
        <f aca="false">IFERROR(TEXT(DATEVALUE(B6),"dddd"),"")</f>
        <v>Wednesday</v>
      </c>
      <c r="D6" s="59" t="s">
        <v>27</v>
      </c>
      <c r="E6" s="60" t="s">
        <v>40</v>
      </c>
      <c r="F6" s="61" t="s">
        <v>41</v>
      </c>
      <c r="G6" s="62" t="n">
        <v>680</v>
      </c>
      <c r="H6" s="76" t="s">
        <v>42</v>
      </c>
      <c r="I6" s="64" t="s">
        <v>31</v>
      </c>
      <c r="J6" s="65" t="s">
        <v>43</v>
      </c>
    </row>
    <row r="7" customFormat="false" ht="21.75" hidden="false" customHeight="true" outlineLevel="0" collapsed="false">
      <c r="A7" s="66" t="n">
        <v>4</v>
      </c>
      <c r="B7" s="67" t="s">
        <v>39</v>
      </c>
      <c r="C7" s="68" t="str">
        <f aca="false">IFERROR(TEXT(DATEVALUE(B7),"dddd"),"")</f>
        <v>Wednesday</v>
      </c>
      <c r="D7" s="69" t="s">
        <v>33</v>
      </c>
      <c r="E7" s="70" t="s">
        <v>44</v>
      </c>
      <c r="F7" s="71" t="s">
        <v>45</v>
      </c>
      <c r="G7" s="72" t="n">
        <v>1200</v>
      </c>
      <c r="H7" s="73" t="s">
        <v>36</v>
      </c>
      <c r="I7" s="64" t="s">
        <v>31</v>
      </c>
      <c r="J7" s="75" t="s">
        <v>46</v>
      </c>
    </row>
    <row r="8" customFormat="false" ht="21.75" hidden="false" customHeight="true" outlineLevel="0" collapsed="false">
      <c r="A8" s="56" t="n">
        <v>5</v>
      </c>
      <c r="B8" s="57" t="s">
        <v>47</v>
      </c>
      <c r="C8" s="58" t="str">
        <f aca="false">IFERROR(TEXT(DATEVALUE(B8),"dddd"),"")</f>
        <v>Wednesday</v>
      </c>
      <c r="D8" s="77" t="s">
        <v>48</v>
      </c>
      <c r="E8" s="60" t="s">
        <v>49</v>
      </c>
      <c r="F8" s="61" t="s">
        <v>50</v>
      </c>
      <c r="G8" s="62" t="n">
        <v>600</v>
      </c>
      <c r="H8" s="78" t="s">
        <v>51</v>
      </c>
      <c r="I8" s="74" t="s">
        <v>37</v>
      </c>
      <c r="J8" s="65" t="s">
        <v>52</v>
      </c>
    </row>
    <row r="9" customFormat="false" ht="21.75" hidden="false" customHeight="true" outlineLevel="0" collapsed="false">
      <c r="A9" s="66" t="n">
        <v>6</v>
      </c>
      <c r="B9" s="67" t="s">
        <v>47</v>
      </c>
      <c r="C9" s="68" t="str">
        <f aca="false">IFERROR(TEXT(DATEVALUE(B9),"dddd"),"")</f>
        <v>Wednesday</v>
      </c>
      <c r="D9" s="77" t="s">
        <v>48</v>
      </c>
      <c r="E9" s="70" t="s">
        <v>53</v>
      </c>
      <c r="F9" s="71" t="s">
        <v>54</v>
      </c>
      <c r="G9" s="72" t="n">
        <v>280</v>
      </c>
      <c r="H9" s="63" t="s">
        <v>30</v>
      </c>
      <c r="I9" s="74" t="s">
        <v>37</v>
      </c>
      <c r="J9" s="75" t="s">
        <v>38</v>
      </c>
    </row>
    <row r="10" customFormat="false" ht="21.75" hidden="false" customHeight="true" outlineLevel="0" collapsed="false">
      <c r="A10" s="56" t="n">
        <v>7</v>
      </c>
      <c r="B10" s="57" t="s">
        <v>55</v>
      </c>
      <c r="C10" s="58" t="str">
        <f aca="false">IFERROR(TEXT(DATEVALUE(B10),"dddd"),"")</f>
        <v>Saturday</v>
      </c>
      <c r="D10" s="79" t="s">
        <v>56</v>
      </c>
      <c r="E10" s="60" t="s">
        <v>57</v>
      </c>
      <c r="F10" s="61" t="s">
        <v>58</v>
      </c>
      <c r="G10" s="62" t="n">
        <v>1450</v>
      </c>
      <c r="H10" s="80" t="s">
        <v>59</v>
      </c>
      <c r="I10" s="64" t="s">
        <v>31</v>
      </c>
      <c r="J10" s="65" t="s">
        <v>60</v>
      </c>
    </row>
    <row r="11" customFormat="false" ht="21.75" hidden="false" customHeight="true" outlineLevel="0" collapsed="false">
      <c r="A11" s="66" t="n">
        <v>8</v>
      </c>
      <c r="B11" s="67" t="s">
        <v>55</v>
      </c>
      <c r="C11" s="68" t="str">
        <f aca="false">IFERROR(TEXT(DATEVALUE(B11),"dddd"),"")</f>
        <v>Saturday</v>
      </c>
      <c r="D11" s="79" t="s">
        <v>56</v>
      </c>
      <c r="E11" s="70" t="s">
        <v>61</v>
      </c>
      <c r="F11" s="71" t="s">
        <v>62</v>
      </c>
      <c r="G11" s="72" t="n">
        <v>799</v>
      </c>
      <c r="H11" s="73" t="s">
        <v>36</v>
      </c>
      <c r="I11" s="64" t="s">
        <v>31</v>
      </c>
      <c r="J11" s="75" t="s">
        <v>63</v>
      </c>
    </row>
    <row r="12" customFormat="false" ht="21.75" hidden="false" customHeight="true" outlineLevel="0" collapsed="false">
      <c r="A12" s="56" t="n">
        <v>9</v>
      </c>
      <c r="B12" s="57" t="s">
        <v>64</v>
      </c>
      <c r="C12" s="58" t="str">
        <f aca="false">IFERROR(TEXT(DATEVALUE(B12),"dddd"),"")</f>
        <v>Monday</v>
      </c>
      <c r="D12" s="81" t="s">
        <v>65</v>
      </c>
      <c r="E12" s="60" t="s">
        <v>66</v>
      </c>
      <c r="F12" s="61" t="s">
        <v>67</v>
      </c>
      <c r="G12" s="62" t="n">
        <v>320</v>
      </c>
      <c r="H12" s="63" t="s">
        <v>30</v>
      </c>
      <c r="I12" s="64" t="s">
        <v>31</v>
      </c>
      <c r="J12" s="65" t="s">
        <v>68</v>
      </c>
    </row>
    <row r="13" customFormat="false" ht="21.75" hidden="false" customHeight="true" outlineLevel="0" collapsed="false">
      <c r="A13" s="66" t="n">
        <v>10</v>
      </c>
      <c r="B13" s="67" t="s">
        <v>64</v>
      </c>
      <c r="C13" s="68" t="str">
        <f aca="false">IFERROR(TEXT(DATEVALUE(B13),"dddd"),"")</f>
        <v>Monday</v>
      </c>
      <c r="D13" s="81" t="s">
        <v>65</v>
      </c>
      <c r="E13" s="70" t="s">
        <v>69</v>
      </c>
      <c r="F13" s="71" t="s">
        <v>70</v>
      </c>
      <c r="G13" s="72" t="n">
        <v>500</v>
      </c>
      <c r="H13" s="63" t="s">
        <v>30</v>
      </c>
      <c r="I13" s="64" t="s">
        <v>31</v>
      </c>
      <c r="J13" s="75" t="s">
        <v>38</v>
      </c>
    </row>
    <row r="14" customFormat="false" ht="21.75" hidden="false" customHeight="true" outlineLevel="0" collapsed="false">
      <c r="A14" s="56" t="n">
        <v>11</v>
      </c>
      <c r="B14" s="57" t="s">
        <v>71</v>
      </c>
      <c r="C14" s="58" t="str">
        <f aca="false">IFERROR(TEXT(DATEVALUE(B14),"dddd"),"")</f>
        <v>Thursday</v>
      </c>
      <c r="D14" s="82" t="s">
        <v>72</v>
      </c>
      <c r="E14" s="60" t="s">
        <v>73</v>
      </c>
      <c r="F14" s="61" t="s">
        <v>74</v>
      </c>
      <c r="G14" s="62" t="n">
        <v>1299</v>
      </c>
      <c r="H14" s="76" t="s">
        <v>42</v>
      </c>
      <c r="I14" s="64" t="s">
        <v>31</v>
      </c>
      <c r="J14" s="65" t="s">
        <v>75</v>
      </c>
    </row>
    <row r="15" customFormat="false" ht="21.75" hidden="false" customHeight="true" outlineLevel="0" collapsed="false">
      <c r="A15" s="66" t="n">
        <v>12</v>
      </c>
      <c r="B15" s="67" t="s">
        <v>71</v>
      </c>
      <c r="C15" s="68" t="str">
        <f aca="false">IFERROR(TEXT(DATEVALUE(B15),"dddd"),"")</f>
        <v>Thursday</v>
      </c>
      <c r="D15" s="82" t="s">
        <v>72</v>
      </c>
      <c r="E15" s="70" t="s">
        <v>76</v>
      </c>
      <c r="F15" s="71" t="s">
        <v>77</v>
      </c>
      <c r="G15" s="72" t="n">
        <v>850</v>
      </c>
      <c r="H15" s="78" t="s">
        <v>51</v>
      </c>
      <c r="I15" s="64" t="s">
        <v>31</v>
      </c>
      <c r="J15" s="75" t="s">
        <v>78</v>
      </c>
    </row>
    <row r="16" customFormat="false" ht="21.75" hidden="false" customHeight="true" outlineLevel="0" collapsed="false">
      <c r="A16" s="56" t="n">
        <v>13</v>
      </c>
      <c r="B16" s="57" t="s">
        <v>79</v>
      </c>
      <c r="C16" s="58" t="str">
        <f aca="false">IFERROR(TEXT(DATEVALUE(B16),"dddd"),"")</f>
        <v>Saturday</v>
      </c>
      <c r="D16" s="83" t="s">
        <v>80</v>
      </c>
      <c r="E16" s="60" t="s">
        <v>81</v>
      </c>
      <c r="F16" s="61" t="s">
        <v>82</v>
      </c>
      <c r="G16" s="62" t="n">
        <v>1750</v>
      </c>
      <c r="H16" s="76" t="s">
        <v>42</v>
      </c>
      <c r="I16" s="64" t="s">
        <v>31</v>
      </c>
      <c r="J16" s="65" t="s">
        <v>38</v>
      </c>
    </row>
    <row r="17" customFormat="false" ht="21.75" hidden="false" customHeight="true" outlineLevel="0" collapsed="false">
      <c r="A17" s="66" t="n">
        <v>14</v>
      </c>
      <c r="B17" s="67" t="s">
        <v>79</v>
      </c>
      <c r="C17" s="68" t="str">
        <f aca="false">IFERROR(TEXT(DATEVALUE(B17),"dddd"),"")</f>
        <v>Saturday</v>
      </c>
      <c r="D17" s="83" t="s">
        <v>80</v>
      </c>
      <c r="E17" s="70" t="s">
        <v>83</v>
      </c>
      <c r="F17" s="71" t="s">
        <v>84</v>
      </c>
      <c r="G17" s="72" t="n">
        <v>2499</v>
      </c>
      <c r="H17" s="73" t="s">
        <v>36</v>
      </c>
      <c r="I17" s="64" t="s">
        <v>31</v>
      </c>
      <c r="J17" s="75" t="s">
        <v>85</v>
      </c>
    </row>
    <row r="18" customFormat="false" ht="21.75" hidden="false" customHeight="true" outlineLevel="0" collapsed="false">
      <c r="A18" s="56" t="n">
        <v>15</v>
      </c>
      <c r="B18" s="57" t="s">
        <v>86</v>
      </c>
      <c r="C18" s="58" t="str">
        <f aca="false">IFERROR(TEXT(DATEVALUE(B18),"dddd"),"")</f>
        <v>Tuesday</v>
      </c>
      <c r="D18" s="59" t="s">
        <v>27</v>
      </c>
      <c r="E18" s="60" t="s">
        <v>87</v>
      </c>
      <c r="F18" s="61" t="s">
        <v>88</v>
      </c>
      <c r="G18" s="62" t="n">
        <v>420</v>
      </c>
      <c r="H18" s="84" t="s">
        <v>89</v>
      </c>
      <c r="I18" s="74" t="s">
        <v>37</v>
      </c>
      <c r="J18" s="65" t="s">
        <v>38</v>
      </c>
    </row>
    <row r="19" customFormat="false" ht="21.75" hidden="false" customHeight="true" outlineLevel="0" collapsed="false">
      <c r="A19" s="66" t="n">
        <v>16</v>
      </c>
      <c r="B19" s="67" t="s">
        <v>86</v>
      </c>
      <c r="C19" s="68" t="str">
        <f aca="false">IFERROR(TEXT(DATEVALUE(B19),"dddd"),"")</f>
        <v>Tuesday</v>
      </c>
      <c r="D19" s="69" t="s">
        <v>33</v>
      </c>
      <c r="E19" s="70" t="s">
        <v>90</v>
      </c>
      <c r="F19" s="71" t="s">
        <v>91</v>
      </c>
      <c r="G19" s="72" t="n">
        <v>350</v>
      </c>
      <c r="H19" s="84" t="s">
        <v>89</v>
      </c>
      <c r="I19" s="74" t="s">
        <v>37</v>
      </c>
      <c r="J19" s="75" t="s">
        <v>92</v>
      </c>
    </row>
    <row r="20" customFormat="false" ht="21.75" hidden="false" customHeight="true" outlineLevel="0" collapsed="false">
      <c r="A20" s="56" t="n">
        <v>17</v>
      </c>
      <c r="B20" s="57" t="s">
        <v>93</v>
      </c>
      <c r="C20" s="58" t="str">
        <f aca="false">IFERROR(TEXT(DATEVALUE(B20),"dddd"),"")</f>
        <v>Friday</v>
      </c>
      <c r="D20" s="81" t="s">
        <v>65</v>
      </c>
      <c r="E20" s="60" t="s">
        <v>94</v>
      </c>
      <c r="F20" s="61" t="s">
        <v>95</v>
      </c>
      <c r="G20" s="62" t="n">
        <v>1200</v>
      </c>
      <c r="H20" s="73" t="s">
        <v>36</v>
      </c>
      <c r="I20" s="64" t="s">
        <v>31</v>
      </c>
      <c r="J20" s="65" t="s">
        <v>38</v>
      </c>
    </row>
    <row r="21" customFormat="false" ht="21.75" hidden="false" customHeight="true" outlineLevel="0" collapsed="false">
      <c r="A21" s="66" t="n">
        <v>18</v>
      </c>
      <c r="B21" s="67" t="s">
        <v>93</v>
      </c>
      <c r="C21" s="68" t="str">
        <f aca="false">IFERROR(TEXT(DATEVALUE(B21),"dddd"),"")</f>
        <v>Friday</v>
      </c>
      <c r="D21" s="59" t="s">
        <v>27</v>
      </c>
      <c r="E21" s="70" t="s">
        <v>28</v>
      </c>
      <c r="F21" s="71" t="s">
        <v>96</v>
      </c>
      <c r="G21" s="72" t="n">
        <v>960</v>
      </c>
      <c r="H21" s="63" t="s">
        <v>30</v>
      </c>
      <c r="I21" s="74" t="s">
        <v>37</v>
      </c>
      <c r="J21" s="75" t="s">
        <v>38</v>
      </c>
    </row>
    <row r="22" customFormat="false" ht="21.75" hidden="false" customHeight="true" outlineLevel="0" collapsed="false">
      <c r="A22" s="56" t="n">
        <v>19</v>
      </c>
      <c r="B22" s="57" t="s">
        <v>97</v>
      </c>
      <c r="C22" s="58" t="str">
        <f aca="false">IFERROR(TEXT(DATEVALUE(B22),"dddd"),"")</f>
        <v>Sunday</v>
      </c>
      <c r="D22" s="79" t="s">
        <v>56</v>
      </c>
      <c r="E22" s="60" t="s">
        <v>98</v>
      </c>
      <c r="F22" s="61" t="s">
        <v>99</v>
      </c>
      <c r="G22" s="62" t="n">
        <v>509</v>
      </c>
      <c r="H22" s="73" t="s">
        <v>36</v>
      </c>
      <c r="I22" s="74" t="s">
        <v>37</v>
      </c>
      <c r="J22" s="65" t="s">
        <v>100</v>
      </c>
    </row>
    <row r="23" customFormat="false" ht="21.75" hidden="false" customHeight="true" outlineLevel="0" collapsed="false">
      <c r="A23" s="66" t="n">
        <v>20</v>
      </c>
      <c r="B23" s="67" t="s">
        <v>97</v>
      </c>
      <c r="C23" s="68" t="str">
        <f aca="false">IFERROR(TEXT(DATEVALUE(B23),"dddd"),"")</f>
        <v>Sunday</v>
      </c>
      <c r="D23" s="85" t="s">
        <v>101</v>
      </c>
      <c r="E23" s="70" t="s">
        <v>102</v>
      </c>
      <c r="F23" s="71" t="s">
        <v>103</v>
      </c>
      <c r="G23" s="72" t="n">
        <v>180</v>
      </c>
      <c r="H23" s="63" t="s">
        <v>30</v>
      </c>
      <c r="I23" s="74" t="s">
        <v>37</v>
      </c>
      <c r="J23" s="75" t="s">
        <v>104</v>
      </c>
    </row>
    <row r="24" customFormat="false" ht="21.75" hidden="false" customHeight="true" outlineLevel="0" collapsed="false">
      <c r="A24" s="56" t="n">
        <v>21</v>
      </c>
      <c r="B24" s="57" t="s">
        <v>105</v>
      </c>
      <c r="C24" s="58" t="str">
        <f aca="false">IFERROR(TEXT(DATEVALUE(B24),"dddd"),"")</f>
        <v>Wednesday</v>
      </c>
      <c r="D24" s="59" t="s">
        <v>27</v>
      </c>
      <c r="E24" s="60" t="s">
        <v>106</v>
      </c>
      <c r="F24" s="61" t="s">
        <v>107</v>
      </c>
      <c r="G24" s="62" t="n">
        <v>540</v>
      </c>
      <c r="H24" s="76" t="s">
        <v>42</v>
      </c>
      <c r="I24" s="74" t="s">
        <v>37</v>
      </c>
      <c r="J24" s="65" t="s">
        <v>38</v>
      </c>
    </row>
    <row r="25" customFormat="false" ht="21.75" hidden="false" customHeight="true" outlineLevel="0" collapsed="false">
      <c r="A25" s="66" t="n">
        <v>22</v>
      </c>
      <c r="B25" s="67" t="s">
        <v>105</v>
      </c>
      <c r="C25" s="68" t="str">
        <f aca="false">IFERROR(TEXT(DATEVALUE(B25),"dddd"),"")</f>
        <v>Wednesday</v>
      </c>
      <c r="D25" s="69" t="s">
        <v>33</v>
      </c>
      <c r="E25" s="70" t="s">
        <v>108</v>
      </c>
      <c r="F25" s="71" t="s">
        <v>109</v>
      </c>
      <c r="G25" s="72" t="n">
        <v>120</v>
      </c>
      <c r="H25" s="63" t="s">
        <v>30</v>
      </c>
      <c r="I25" s="74" t="s">
        <v>37</v>
      </c>
      <c r="J25" s="75" t="s">
        <v>38</v>
      </c>
    </row>
    <row r="26" customFormat="false" ht="21.75" hidden="false" customHeight="true" outlineLevel="0" collapsed="false">
      <c r="A26" s="56" t="n">
        <v>23</v>
      </c>
      <c r="B26" s="57" t="s">
        <v>110</v>
      </c>
      <c r="C26" s="58" t="str">
        <f aca="false">IFERROR(TEXT(DATEVALUE(B26),"dddd"),"")</f>
        <v>Friday</v>
      </c>
      <c r="D26" s="69" t="s">
        <v>33</v>
      </c>
      <c r="E26" s="60" t="s">
        <v>111</v>
      </c>
      <c r="F26" s="61" t="s">
        <v>112</v>
      </c>
      <c r="G26" s="62" t="n">
        <v>2200</v>
      </c>
      <c r="H26" s="73" t="s">
        <v>36</v>
      </c>
      <c r="I26" s="64" t="s">
        <v>31</v>
      </c>
      <c r="J26" s="65" t="s">
        <v>113</v>
      </c>
    </row>
    <row r="27" customFormat="false" ht="21.75" hidden="false" customHeight="true" outlineLevel="0" collapsed="false">
      <c r="A27" s="66" t="n">
        <v>24</v>
      </c>
      <c r="B27" s="67" t="s">
        <v>110</v>
      </c>
      <c r="C27" s="68" t="str">
        <f aca="false">IFERROR(TEXT(DATEVALUE(B27),"dddd"),"")</f>
        <v>Friday</v>
      </c>
      <c r="D27" s="77" t="s">
        <v>48</v>
      </c>
      <c r="E27" s="70" t="s">
        <v>114</v>
      </c>
      <c r="F27" s="71" t="s">
        <v>115</v>
      </c>
      <c r="G27" s="72" t="n">
        <v>3500</v>
      </c>
      <c r="H27" s="76" t="s">
        <v>42</v>
      </c>
      <c r="I27" s="64" t="s">
        <v>31</v>
      </c>
      <c r="J27" s="75" t="s">
        <v>116</v>
      </c>
    </row>
    <row r="28" customFormat="false" ht="21.75" hidden="false" customHeight="true" outlineLevel="0" collapsed="false">
      <c r="A28" s="56" t="n">
        <v>25</v>
      </c>
      <c r="B28" s="57" t="s">
        <v>117</v>
      </c>
      <c r="C28" s="58" t="str">
        <f aca="false">IFERROR(TEXT(DATEVALUE(B28),"dddd"),"")</f>
        <v/>
      </c>
      <c r="D28" s="59" t="s">
        <v>27</v>
      </c>
      <c r="E28" s="60" t="s">
        <v>118</v>
      </c>
      <c r="F28" s="61" t="s">
        <v>119</v>
      </c>
      <c r="G28" s="62" t="n">
        <v>1850</v>
      </c>
      <c r="H28" s="63" t="s">
        <v>30</v>
      </c>
      <c r="I28" s="64" t="s">
        <v>31</v>
      </c>
      <c r="J28" s="65" t="s">
        <v>38</v>
      </c>
    </row>
    <row r="29" customFormat="false" ht="21.75" hidden="false" customHeight="true" outlineLevel="0" collapsed="false">
      <c r="A29" s="66" t="n">
        <v>26</v>
      </c>
      <c r="B29" s="67" t="s">
        <v>120</v>
      </c>
      <c r="C29" s="68" t="str">
        <f aca="false">IFERROR(TEXT(DATEVALUE(B29),"dddd"),"")</f>
        <v/>
      </c>
      <c r="D29" s="59" t="s">
        <v>27</v>
      </c>
      <c r="E29" s="70" t="s">
        <v>121</v>
      </c>
      <c r="F29" s="71" t="s">
        <v>122</v>
      </c>
      <c r="G29" s="72" t="n">
        <v>210</v>
      </c>
      <c r="H29" s="63" t="s">
        <v>30</v>
      </c>
      <c r="I29" s="74" t="s">
        <v>37</v>
      </c>
      <c r="J29" s="75" t="s">
        <v>38</v>
      </c>
    </row>
    <row r="30" customFormat="false" ht="21.75" hidden="false" customHeight="true" outlineLevel="0" collapsed="false">
      <c r="A30" s="56" t="n">
        <v>27</v>
      </c>
      <c r="B30" s="57" t="s">
        <v>120</v>
      </c>
      <c r="C30" s="58" t="str">
        <f aca="false">IFERROR(TEXT(DATEVALUE(B30),"dddd"),"")</f>
        <v/>
      </c>
      <c r="D30" s="79" t="s">
        <v>56</v>
      </c>
      <c r="E30" s="60" t="s">
        <v>123</v>
      </c>
      <c r="F30" s="61" t="s">
        <v>124</v>
      </c>
      <c r="G30" s="62" t="n">
        <v>200</v>
      </c>
      <c r="H30" s="63" t="s">
        <v>30</v>
      </c>
      <c r="I30" s="74" t="s">
        <v>37</v>
      </c>
      <c r="J30" s="65" t="s">
        <v>38</v>
      </c>
    </row>
    <row r="31" customFormat="false" ht="21.75" hidden="false" customHeight="true" outlineLevel="0" collapsed="false">
      <c r="A31" s="66" t="n">
        <v>28</v>
      </c>
      <c r="B31" s="67" t="s">
        <v>125</v>
      </c>
      <c r="C31" s="68" t="str">
        <f aca="false">IFERROR(TEXT(DATEVALUE(B31),"dddd"),"")</f>
        <v/>
      </c>
      <c r="D31" s="85" t="s">
        <v>101</v>
      </c>
      <c r="E31" s="70" t="s">
        <v>126</v>
      </c>
      <c r="F31" s="71" t="s">
        <v>127</v>
      </c>
      <c r="G31" s="72" t="n">
        <v>5000</v>
      </c>
      <c r="H31" s="80" t="s">
        <v>59</v>
      </c>
      <c r="I31" s="64" t="s">
        <v>31</v>
      </c>
      <c r="J31" s="75" t="s">
        <v>128</v>
      </c>
    </row>
    <row r="32" customFormat="false" ht="21.75" hidden="false" customHeight="true" outlineLevel="0" collapsed="false">
      <c r="A32" s="56" t="n">
        <v>29</v>
      </c>
      <c r="B32" s="57" t="s">
        <v>125</v>
      </c>
      <c r="C32" s="58" t="str">
        <f aca="false">IFERROR(TEXT(DATEVALUE(B32),"dddd"),"")</f>
        <v/>
      </c>
      <c r="D32" s="85" t="s">
        <v>101</v>
      </c>
      <c r="E32" s="60" t="s">
        <v>129</v>
      </c>
      <c r="F32" s="61" t="s">
        <v>130</v>
      </c>
      <c r="G32" s="62" t="n">
        <v>250</v>
      </c>
      <c r="H32" s="63" t="s">
        <v>30</v>
      </c>
      <c r="I32" s="74" t="s">
        <v>37</v>
      </c>
      <c r="J32" s="65" t="s">
        <v>38</v>
      </c>
    </row>
    <row r="33" customFormat="false" ht="21.75" hidden="false" customHeight="true" outlineLevel="0" collapsed="false">
      <c r="A33" s="66" t="n">
        <v>30</v>
      </c>
      <c r="B33" s="67" t="s">
        <v>131</v>
      </c>
      <c r="C33" s="68" t="str">
        <f aca="false">IFERROR(TEXT(DATEVALUE(B33),"dddd"),"")</f>
        <v/>
      </c>
      <c r="D33" s="83" t="s">
        <v>80</v>
      </c>
      <c r="E33" s="70" t="s">
        <v>132</v>
      </c>
      <c r="F33" s="71" t="s">
        <v>133</v>
      </c>
      <c r="G33" s="72" t="n">
        <v>1599</v>
      </c>
      <c r="H33" s="76" t="s">
        <v>42</v>
      </c>
      <c r="I33" s="64" t="s">
        <v>31</v>
      </c>
      <c r="J33" s="75" t="s">
        <v>78</v>
      </c>
    </row>
    <row r="34" customFormat="false" ht="30" hidden="false" customHeight="true" outlineLevel="0" collapsed="false">
      <c r="A34" s="86" t="s">
        <v>134</v>
      </c>
      <c r="B34" s="86"/>
      <c r="C34" s="86"/>
      <c r="D34" s="86"/>
      <c r="E34" s="86"/>
      <c r="F34" s="86"/>
      <c r="G34" s="87" t="n">
        <f aca="false">SUM(G4:G33)</f>
        <v>33665</v>
      </c>
      <c r="H34" s="88" t="str">
        <f aca="false">COUNTA(G4:G33) &amp; " transactions"</f>
        <v>30 transactions</v>
      </c>
      <c r="I34" s="88"/>
      <c r="J34" s="88"/>
    </row>
  </sheetData>
  <mergeCells count="4">
    <mergeCell ref="A1:J1"/>
    <mergeCell ref="A2:J2"/>
    <mergeCell ref="A34:F34"/>
    <mergeCell ref="H34:J34"/>
  </mergeCells>
  <dataValidations count="3">
    <dataValidation allowBlank="false" errorStyle="stop" operator="between" showDropDown="false" showErrorMessage="false" showInputMessage="false" sqref="D4:D500" type="list">
      <formula1>"Food &amp; Dining,Travel &amp; Fuel,Shopping,Entertainment,Health &amp; Medical,Utilities &amp; Bills,Education,Others"</formula1>
      <formula2>0</formula2>
    </dataValidation>
    <dataValidation allowBlank="false" errorStyle="stop" operator="between" showDropDown="false" showErrorMessage="false" showInputMessage="false" sqref="H4:H500" type="list">
      <formula1>"Cash,UPI,Credit Card,Debit Card,Net Banking,Wallet"</formula1>
      <formula2>0</formula2>
    </dataValidation>
    <dataValidation allowBlank="false" errorStyle="stop" operator="between" showDropDown="false" showErrorMessage="false" showInputMessage="false" sqref="I4:I5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8" min="7" style="1" width="16"/>
  </cols>
  <sheetData>
    <row r="1" customFormat="false" ht="42" hidden="false" customHeight="true" outlineLevel="0" collapsed="false">
      <c r="A1" s="89" t="s">
        <v>135</v>
      </c>
      <c r="B1" s="89"/>
      <c r="C1" s="89"/>
      <c r="D1" s="89"/>
      <c r="E1" s="89"/>
      <c r="F1" s="89"/>
      <c r="G1" s="89"/>
      <c r="H1" s="89"/>
    </row>
    <row r="2" customFormat="false" ht="36" hidden="false" customHeight="true" outlineLevel="0" collapsed="false">
      <c r="A2" s="55" t="s">
        <v>11</v>
      </c>
      <c r="B2" s="55" t="s">
        <v>136</v>
      </c>
      <c r="C2" s="55" t="s">
        <v>137</v>
      </c>
      <c r="D2" s="55" t="s">
        <v>138</v>
      </c>
      <c r="E2" s="55" t="s">
        <v>139</v>
      </c>
      <c r="F2" s="90" t="s">
        <v>140</v>
      </c>
      <c r="G2" s="91" t="s">
        <v>141</v>
      </c>
      <c r="H2" s="55" t="s">
        <v>14</v>
      </c>
    </row>
    <row r="3" customFormat="false" ht="24" hidden="false" customHeight="true" outlineLevel="0" collapsed="false">
      <c r="A3" s="92" t="s">
        <v>27</v>
      </c>
      <c r="B3" s="93" t="n">
        <f aca="false">SUMIF('Expense Log'!D4:D33,A3,'Expense Log'!G4:G33)</f>
        <v>6510</v>
      </c>
      <c r="C3" s="94" t="n">
        <f aca="false">COUNTIF('Expense Log'!D4:D33,A3)</f>
        <v>7</v>
      </c>
      <c r="D3" s="95" t="n">
        <f aca="false">IF(C3=0,0,B3/C3)</f>
        <v>930</v>
      </c>
      <c r="E3" s="96" t="n">
        <f aca="false">IF('Expense Log'!G34=0,0,B3/'Expense Log'!G34*100)</f>
        <v>19.33759096985</v>
      </c>
      <c r="F3" s="44" t="n">
        <v>8000</v>
      </c>
      <c r="G3" s="97" t="n">
        <f aca="false">F3-B3</f>
        <v>1490</v>
      </c>
      <c r="H3" s="98" t="str">
        <f aca="false">IF(G3&lt;0,"⚠ Over Budget",IF(G3&lt;F3*0.1,"⚡ Near Limit","✅ On Track"))</f>
        <v>✅ On Track</v>
      </c>
    </row>
    <row r="4" customFormat="false" ht="24" hidden="false" customHeight="true" outlineLevel="0" collapsed="false">
      <c r="A4" s="99" t="s">
        <v>33</v>
      </c>
      <c r="B4" s="100" t="n">
        <f aca="false">SUMIF('Expense Log'!D4:D33,A4,'Expense Log'!G4:G33)</f>
        <v>4370</v>
      </c>
      <c r="C4" s="101" t="n">
        <f aca="false">COUNTIF('Expense Log'!D4:D33,A4)</f>
        <v>5</v>
      </c>
      <c r="D4" s="102" t="n">
        <f aca="false">IF(C4=0,0,B4/C4)</f>
        <v>874</v>
      </c>
      <c r="E4" s="103" t="n">
        <f aca="false">IF('Expense Log'!G34=0,0,B4/'Expense Log'!G34*100)</f>
        <v>12.980840635675</v>
      </c>
      <c r="F4" s="44" t="n">
        <v>5000</v>
      </c>
      <c r="G4" s="104" t="n">
        <f aca="false">F4-B4</f>
        <v>630</v>
      </c>
      <c r="H4" s="105" t="str">
        <f aca="false">IF(G4&lt;0,"⚠ Over Budget",IF(G4&lt;F4*0.1,"⚡ Near Limit","✅ On Track"))</f>
        <v>✅ On Track</v>
      </c>
    </row>
    <row r="5" customFormat="false" ht="24" hidden="false" customHeight="true" outlineLevel="0" collapsed="false">
      <c r="A5" s="106" t="s">
        <v>80</v>
      </c>
      <c r="B5" s="107" t="n">
        <f aca="false">SUMIF('Expense Log'!D4:D33,A5,'Expense Log'!G4:G33)</f>
        <v>5848</v>
      </c>
      <c r="C5" s="108" t="n">
        <f aca="false">COUNTIF('Expense Log'!D4:D33,A5)</f>
        <v>3</v>
      </c>
      <c r="D5" s="109" t="n">
        <f aca="false">IF(C5=0,0,B5/C5)</f>
        <v>1949.33333333333</v>
      </c>
      <c r="E5" s="110" t="n">
        <f aca="false">IF('Expense Log'!G34=0,0,B5/'Expense Log'!G34*100)</f>
        <v>17.3711569879697</v>
      </c>
      <c r="F5" s="44" t="n">
        <v>6000</v>
      </c>
      <c r="G5" s="111" t="n">
        <f aca="false">F5-B5</f>
        <v>152</v>
      </c>
      <c r="H5" s="112" t="str">
        <f aca="false">IF(G5&lt;0,"⚠ Over Budget",IF(G5&lt;F5*0.1,"⚡ Near Limit","✅ On Track"))</f>
        <v>⚡ Near Limit</v>
      </c>
    </row>
    <row r="6" customFormat="false" ht="24" hidden="false" customHeight="true" outlineLevel="0" collapsed="false">
      <c r="A6" s="113" t="s">
        <v>48</v>
      </c>
      <c r="B6" s="114" t="n">
        <f aca="false">SUMIF('Expense Log'!D4:D33,A6,'Expense Log'!G4:G33)</f>
        <v>4380</v>
      </c>
      <c r="C6" s="115" t="n">
        <f aca="false">COUNTIF('Expense Log'!D4:D33,A6)</f>
        <v>3</v>
      </c>
      <c r="D6" s="116" t="n">
        <f aca="false">IF(C6=0,0,B6/C6)</f>
        <v>1460</v>
      </c>
      <c r="E6" s="117" t="n">
        <f aca="false">IF('Expense Log'!G34=0,0,B6/'Expense Log'!G34*100)</f>
        <v>13.0105450764889</v>
      </c>
      <c r="F6" s="44" t="n">
        <v>4000</v>
      </c>
      <c r="G6" s="118" t="n">
        <f aca="false">F6-B6</f>
        <v>-380</v>
      </c>
      <c r="H6" s="119" t="str">
        <f aca="false">IF(G6&lt;0,"⚠ Over Budget",IF(G6&lt;F6*0.1,"⚡ Near Limit","✅ On Track"))</f>
        <v>⚠ Over Budget</v>
      </c>
    </row>
    <row r="7" customFormat="false" ht="24" hidden="false" customHeight="true" outlineLevel="0" collapsed="false">
      <c r="A7" s="120" t="s">
        <v>65</v>
      </c>
      <c r="B7" s="121" t="n">
        <f aca="false">SUMIF('Expense Log'!D4:D33,A7,'Expense Log'!G4:G33)</f>
        <v>2020</v>
      </c>
      <c r="C7" s="122" t="n">
        <f aca="false">COUNTIF('Expense Log'!D4:D33,A7)</f>
        <v>3</v>
      </c>
      <c r="D7" s="123" t="n">
        <f aca="false">IF(C7=0,0,B7/C7)</f>
        <v>673.333333333333</v>
      </c>
      <c r="E7" s="124" t="n">
        <f aca="false">IF('Expense Log'!G34=0,0,B7/'Expense Log'!G34*100)</f>
        <v>6.00029704440814</v>
      </c>
      <c r="F7" s="44" t="n">
        <v>3000</v>
      </c>
      <c r="G7" s="125" t="n">
        <f aca="false">F7-B7</f>
        <v>980</v>
      </c>
      <c r="H7" s="126" t="str">
        <f aca="false">IF(G7&lt;0,"⚠ Over Budget",IF(G7&lt;F7*0.1,"⚡ Near Limit","✅ On Track"))</f>
        <v>✅ On Track</v>
      </c>
    </row>
    <row r="8" customFormat="false" ht="24" hidden="false" customHeight="true" outlineLevel="0" collapsed="false">
      <c r="A8" s="127" t="s">
        <v>56</v>
      </c>
      <c r="B8" s="128" t="n">
        <f aca="false">SUMIF('Expense Log'!D4:D33,A8,'Expense Log'!G4:G33)</f>
        <v>2958</v>
      </c>
      <c r="C8" s="129" t="n">
        <f aca="false">COUNTIF('Expense Log'!D4:D33,A8)</f>
        <v>4</v>
      </c>
      <c r="D8" s="130" t="n">
        <f aca="false">IF(C8=0,0,B8/C8)</f>
        <v>739.5</v>
      </c>
      <c r="E8" s="131" t="n">
        <f aca="false">IF('Expense Log'!G34=0,0,B8/'Expense Log'!G34*100)</f>
        <v>8.78657359275212</v>
      </c>
      <c r="F8" s="44" t="n">
        <v>4000</v>
      </c>
      <c r="G8" s="132" t="n">
        <f aca="false">F8-B8</f>
        <v>1042</v>
      </c>
      <c r="H8" s="133" t="str">
        <f aca="false">IF(G8&lt;0,"⚠ Over Budget",IF(G8&lt;F8*0.1,"⚡ Near Limit","✅ On Track"))</f>
        <v>✅ On Track</v>
      </c>
    </row>
    <row r="9" customFormat="false" ht="24" hidden="false" customHeight="true" outlineLevel="0" collapsed="false">
      <c r="A9" s="134" t="s">
        <v>72</v>
      </c>
      <c r="B9" s="135" t="n">
        <f aca="false">SUMIF('Expense Log'!D4:D33,A9,'Expense Log'!G4:G33)</f>
        <v>2149</v>
      </c>
      <c r="C9" s="136" t="n">
        <f aca="false">COUNTIF('Expense Log'!D4:D33,A9)</f>
        <v>2</v>
      </c>
      <c r="D9" s="137" t="n">
        <f aca="false">IF(C9=0,0,B9/C9)</f>
        <v>1074.5</v>
      </c>
      <c r="E9" s="138" t="n">
        <f aca="false">IF('Expense Log'!G34=0,0,B9/'Expense Log'!G34*100)</f>
        <v>6.38348433090747</v>
      </c>
      <c r="F9" s="44" t="n">
        <v>3000</v>
      </c>
      <c r="G9" s="139" t="n">
        <f aca="false">F9-B9</f>
        <v>851</v>
      </c>
      <c r="H9" s="140" t="str">
        <f aca="false">IF(G9&lt;0,"⚠ Over Budget",IF(G9&lt;F9*0.1,"⚡ Near Limit","✅ On Track"))</f>
        <v>✅ On Track</v>
      </c>
    </row>
    <row r="10" customFormat="false" ht="24" hidden="false" customHeight="true" outlineLevel="0" collapsed="false">
      <c r="A10" s="141" t="s">
        <v>101</v>
      </c>
      <c r="B10" s="72" t="n">
        <f aca="false">SUMIF('Expense Log'!D4:D33,A10,'Expense Log'!G4:G33)</f>
        <v>5430</v>
      </c>
      <c r="C10" s="142" t="n">
        <f aca="false">COUNTIF('Expense Log'!D4:D33,A10)</f>
        <v>3</v>
      </c>
      <c r="D10" s="143" t="n">
        <f aca="false">IF(C10=0,0,B10/C10)</f>
        <v>1810</v>
      </c>
      <c r="E10" s="144" t="n">
        <f aca="false">IF('Expense Log'!G34=0,0,B10/'Expense Log'!G34*100)</f>
        <v>16.1295113619486</v>
      </c>
      <c r="F10" s="44" t="n">
        <v>7000</v>
      </c>
      <c r="G10" s="145" t="n">
        <f aca="false">F10-B10</f>
        <v>1570</v>
      </c>
      <c r="H10" s="146" t="str">
        <f aca="false">IF(G10&lt;0,"⚠ Over Budget",IF(G10&lt;F10*0.1,"⚡ Near Limit","✅ On Track"))</f>
        <v>✅ On Track</v>
      </c>
    </row>
    <row r="11" customFormat="false" ht="30" hidden="false" customHeight="true" outlineLevel="0" collapsed="false">
      <c r="A11" s="147" t="s">
        <v>142</v>
      </c>
      <c r="B11" s="148" t="n">
        <f aca="false">SUM(B3:B10)</f>
        <v>33665</v>
      </c>
      <c r="C11" s="149" t="n">
        <f aca="false">SUM(C3:C10)</f>
        <v>30</v>
      </c>
      <c r="D11" s="148" t="n">
        <f aca="false">IF(C11=0,0,B11/C11)</f>
        <v>1122.16666666667</v>
      </c>
      <c r="E11" s="150" t="n">
        <f aca="false">100</f>
        <v>100</v>
      </c>
      <c r="F11" s="148" t="n">
        <f aca="false">SUM(F3:F10)</f>
        <v>40000</v>
      </c>
      <c r="G11" s="148" t="n">
        <f aca="false">SUM(G3:G10)</f>
        <v>6335</v>
      </c>
      <c r="H11" s="151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26"/>
  </cols>
  <sheetData>
    <row r="1" customFormat="false" ht="37.5" hidden="false" customHeight="true" outlineLevel="0" collapsed="false">
      <c r="A1" s="152" t="s">
        <v>143</v>
      </c>
      <c r="B1" s="152"/>
      <c r="C1" s="152"/>
      <c r="D1" s="152"/>
      <c r="E1" s="152"/>
      <c r="F1" s="152"/>
    </row>
    <row r="2" customFormat="false" ht="36" hidden="false" customHeight="true" outlineLevel="0" collapsed="false">
      <c r="A2" s="55" t="s">
        <v>18</v>
      </c>
      <c r="B2" s="55" t="s">
        <v>19</v>
      </c>
      <c r="C2" s="55" t="s">
        <v>136</v>
      </c>
      <c r="D2" s="55" t="s">
        <v>137</v>
      </c>
      <c r="E2" s="55" t="s">
        <v>144</v>
      </c>
      <c r="F2" s="55" t="s">
        <v>145</v>
      </c>
    </row>
    <row r="3" customFormat="false" ht="21.75" hidden="false" customHeight="true" outlineLevel="0" collapsed="false">
      <c r="A3" s="153" t="s">
        <v>26</v>
      </c>
      <c r="B3" s="154" t="s">
        <v>146</v>
      </c>
      <c r="C3" s="72" t="n">
        <f aca="false">SUMIF('Expense Log'!B4:B33,A3,'Expense Log'!G4:G33)</f>
        <v>2350</v>
      </c>
      <c r="D3" s="142" t="n">
        <f aca="false">COUNTIF('Expense Log'!B4:B33,A3)</f>
        <v>2</v>
      </c>
      <c r="E3" s="143" t="n">
        <f aca="false">IFERROR(maxifs('Expense Log'!G4:G33,'Expense Log'!B4:B33,A3),0)</f>
        <v>0</v>
      </c>
      <c r="F3" s="75" t="s">
        <v>147</v>
      </c>
    </row>
    <row r="4" customFormat="false" ht="21.75" hidden="false" customHeight="true" outlineLevel="0" collapsed="false">
      <c r="A4" s="155" t="s">
        <v>39</v>
      </c>
      <c r="B4" s="156" t="s">
        <v>148</v>
      </c>
      <c r="C4" s="62" t="n">
        <f aca="false">SUMIF('Expense Log'!B4:B33,A4,'Expense Log'!G4:G33)</f>
        <v>1880</v>
      </c>
      <c r="D4" s="157" t="n">
        <f aca="false">COUNTIF('Expense Log'!B4:B33,A4)</f>
        <v>2</v>
      </c>
      <c r="E4" s="158" t="n">
        <f aca="false">IFERROR(maxifs('Expense Log'!G4:G33,'Expense Log'!B4:B33,A4),0)</f>
        <v>0</v>
      </c>
      <c r="F4" s="65" t="s">
        <v>149</v>
      </c>
    </row>
    <row r="5" customFormat="false" ht="21.75" hidden="false" customHeight="true" outlineLevel="0" collapsed="false">
      <c r="A5" s="159" t="s">
        <v>47</v>
      </c>
      <c r="B5" s="160" t="s">
        <v>52</v>
      </c>
      <c r="C5" s="128" t="n">
        <f aca="false">SUMIF('Expense Log'!B4:B33,A5,'Expense Log'!G4:G33)</f>
        <v>880</v>
      </c>
      <c r="D5" s="129" t="n">
        <f aca="false">COUNTIF('Expense Log'!B4:B33,A5)</f>
        <v>2</v>
      </c>
      <c r="E5" s="130" t="n">
        <f aca="false">IFERROR(maxifs('Expense Log'!G4:G33,'Expense Log'!B4:B33,A5),0)</f>
        <v>0</v>
      </c>
      <c r="F5" s="161" t="s">
        <v>150</v>
      </c>
    </row>
    <row r="6" customFormat="false" ht="21.75" hidden="false" customHeight="true" outlineLevel="0" collapsed="false">
      <c r="A6" s="159" t="s">
        <v>55</v>
      </c>
      <c r="B6" s="160" t="s">
        <v>151</v>
      </c>
      <c r="C6" s="128" t="n">
        <f aca="false">SUMIF('Expense Log'!B4:B33,A6,'Expense Log'!G4:G33)</f>
        <v>2249</v>
      </c>
      <c r="D6" s="129" t="n">
        <f aca="false">COUNTIF('Expense Log'!B4:B33,A6)</f>
        <v>2</v>
      </c>
      <c r="E6" s="130" t="n">
        <f aca="false">IFERROR(maxifs('Expense Log'!G4:G33,'Expense Log'!B4:B33,A6),0)</f>
        <v>0</v>
      </c>
      <c r="F6" s="161" t="s">
        <v>152</v>
      </c>
    </row>
    <row r="7" customFormat="false" ht="21.75" hidden="false" customHeight="true" outlineLevel="0" collapsed="false">
      <c r="A7" s="153" t="s">
        <v>64</v>
      </c>
      <c r="B7" s="154" t="s">
        <v>153</v>
      </c>
      <c r="C7" s="72" t="n">
        <f aca="false">SUMIF('Expense Log'!B4:B33,A7,'Expense Log'!G4:G33)</f>
        <v>820</v>
      </c>
      <c r="D7" s="142" t="n">
        <f aca="false">COUNTIF('Expense Log'!B4:B33,A7)</f>
        <v>2</v>
      </c>
      <c r="E7" s="143" t="n">
        <f aca="false">IFERROR(maxifs('Expense Log'!G4:G33,'Expense Log'!B4:B33,A7),0)</f>
        <v>0</v>
      </c>
      <c r="F7" s="75" t="s">
        <v>154</v>
      </c>
    </row>
    <row r="8" customFormat="false" ht="21.75" hidden="false" customHeight="true" outlineLevel="0" collapsed="false">
      <c r="A8" s="155" t="s">
        <v>71</v>
      </c>
      <c r="B8" s="156" t="s">
        <v>155</v>
      </c>
      <c r="C8" s="62" t="n">
        <f aca="false">SUMIF('Expense Log'!B4:B33,A8,'Expense Log'!G4:G33)</f>
        <v>2149</v>
      </c>
      <c r="D8" s="157" t="n">
        <f aca="false">COUNTIF('Expense Log'!B4:B33,A8)</f>
        <v>2</v>
      </c>
      <c r="E8" s="158" t="n">
        <f aca="false">IFERROR(maxifs('Expense Log'!G4:G33,'Expense Log'!B4:B33,A8),0)</f>
        <v>0</v>
      </c>
      <c r="F8" s="65" t="s">
        <v>156</v>
      </c>
    </row>
    <row r="9" customFormat="false" ht="21.75" hidden="false" customHeight="true" outlineLevel="0" collapsed="false">
      <c r="A9" s="153" t="s">
        <v>79</v>
      </c>
      <c r="B9" s="154" t="s">
        <v>157</v>
      </c>
      <c r="C9" s="72" t="n">
        <f aca="false">SUMIF('Expense Log'!B4:B33,A9,'Expense Log'!G4:G33)</f>
        <v>4249</v>
      </c>
      <c r="D9" s="142" t="n">
        <f aca="false">COUNTIF('Expense Log'!B4:B33,A9)</f>
        <v>2</v>
      </c>
      <c r="E9" s="143" t="n">
        <f aca="false">IFERROR(maxifs('Expense Log'!G4:G33,'Expense Log'!B4:B33,A9),0)</f>
        <v>0</v>
      </c>
      <c r="F9" s="75" t="s">
        <v>158</v>
      </c>
    </row>
    <row r="10" customFormat="false" ht="21.75" hidden="false" customHeight="true" outlineLevel="0" collapsed="false">
      <c r="A10" s="155" t="s">
        <v>86</v>
      </c>
      <c r="B10" s="156" t="s">
        <v>146</v>
      </c>
      <c r="C10" s="62" t="n">
        <f aca="false">SUMIF('Expense Log'!B4:B33,A10,'Expense Log'!G4:G33)</f>
        <v>770</v>
      </c>
      <c r="D10" s="157" t="n">
        <f aca="false">COUNTIF('Expense Log'!B4:B33,A10)</f>
        <v>2</v>
      </c>
      <c r="E10" s="158" t="n">
        <f aca="false">IFERROR(maxifs('Expense Log'!G4:G33,'Expense Log'!B4:B33,A10),0)</f>
        <v>0</v>
      </c>
      <c r="F10" s="65" t="s">
        <v>159</v>
      </c>
    </row>
    <row r="11" customFormat="false" ht="21.75" hidden="false" customHeight="true" outlineLevel="0" collapsed="false">
      <c r="A11" s="153" t="s">
        <v>93</v>
      </c>
      <c r="B11" s="154" t="s">
        <v>148</v>
      </c>
      <c r="C11" s="72" t="n">
        <f aca="false">SUMIF('Expense Log'!B4:B33,A11,'Expense Log'!G4:G33)</f>
        <v>2160</v>
      </c>
      <c r="D11" s="142" t="n">
        <f aca="false">COUNTIF('Expense Log'!B4:B33,A11)</f>
        <v>2</v>
      </c>
      <c r="E11" s="143" t="n">
        <f aca="false">IFERROR(maxifs('Expense Log'!G4:G33,'Expense Log'!B4:B33,A11),0)</f>
        <v>0</v>
      </c>
      <c r="F11" s="75" t="s">
        <v>160</v>
      </c>
    </row>
    <row r="12" customFormat="false" ht="21.75" hidden="false" customHeight="true" outlineLevel="0" collapsed="false">
      <c r="A12" s="159" t="s">
        <v>97</v>
      </c>
      <c r="B12" s="160" t="s">
        <v>52</v>
      </c>
      <c r="C12" s="128" t="n">
        <f aca="false">SUMIF('Expense Log'!B4:B33,A12,'Expense Log'!G4:G33)</f>
        <v>689</v>
      </c>
      <c r="D12" s="129" t="n">
        <f aca="false">COUNTIF('Expense Log'!B4:B33,A12)</f>
        <v>2</v>
      </c>
      <c r="E12" s="130" t="n">
        <f aca="false">IFERROR(maxifs('Expense Log'!G4:G33,'Expense Log'!B4:B33,A12),0)</f>
        <v>0</v>
      </c>
      <c r="F12" s="161" t="s">
        <v>161</v>
      </c>
    </row>
    <row r="13" customFormat="false" ht="21.75" hidden="false" customHeight="true" outlineLevel="0" collapsed="false">
      <c r="A13" s="159" t="s">
        <v>105</v>
      </c>
      <c r="B13" s="160" t="s">
        <v>151</v>
      </c>
      <c r="C13" s="128" t="n">
        <f aca="false">SUMIF('Expense Log'!B4:B33,A13,'Expense Log'!G4:G33)</f>
        <v>660</v>
      </c>
      <c r="D13" s="129" t="n">
        <f aca="false">COUNTIF('Expense Log'!B4:B33,A13)</f>
        <v>2</v>
      </c>
      <c r="E13" s="130" t="n">
        <f aca="false">IFERROR(maxifs('Expense Log'!G4:G33,'Expense Log'!B4:B33,A13),0)</f>
        <v>0</v>
      </c>
      <c r="F13" s="161" t="s">
        <v>162</v>
      </c>
    </row>
    <row r="14" customFormat="false" ht="21.75" hidden="false" customHeight="true" outlineLevel="0" collapsed="false">
      <c r="A14" s="155" t="s">
        <v>110</v>
      </c>
      <c r="B14" s="156" t="s">
        <v>153</v>
      </c>
      <c r="C14" s="62" t="n">
        <f aca="false">SUMIF('Expense Log'!B4:B33,A14,'Expense Log'!G4:G33)</f>
        <v>5700</v>
      </c>
      <c r="D14" s="157" t="n">
        <f aca="false">COUNTIF('Expense Log'!B4:B33,A14)</f>
        <v>2</v>
      </c>
      <c r="E14" s="158" t="n">
        <f aca="false">IFERROR(maxifs('Expense Log'!G4:G33,'Expense Log'!B4:B33,A14),0)</f>
        <v>0</v>
      </c>
      <c r="F14" s="65" t="s">
        <v>163</v>
      </c>
    </row>
    <row r="15" customFormat="false" ht="21.75" hidden="false" customHeight="true" outlineLevel="0" collapsed="false">
      <c r="A15" s="153" t="s">
        <v>117</v>
      </c>
      <c r="B15" s="154" t="s">
        <v>155</v>
      </c>
      <c r="C15" s="72" t="n">
        <f aca="false">SUMIF('Expense Log'!B4:B33,A15,'Expense Log'!G4:G33)</f>
        <v>1850</v>
      </c>
      <c r="D15" s="142" t="n">
        <f aca="false">COUNTIF('Expense Log'!B4:B33,A15)</f>
        <v>1</v>
      </c>
      <c r="E15" s="143" t="n">
        <f aca="false">IFERROR(maxifs('Expense Log'!G4:G33,'Expense Log'!B4:B33,A15),0)</f>
        <v>0</v>
      </c>
      <c r="F15" s="75" t="s">
        <v>164</v>
      </c>
    </row>
    <row r="16" customFormat="false" ht="21.75" hidden="false" customHeight="true" outlineLevel="0" collapsed="false">
      <c r="A16" s="155" t="s">
        <v>120</v>
      </c>
      <c r="B16" s="156" t="s">
        <v>157</v>
      </c>
      <c r="C16" s="62" t="n">
        <f aca="false">SUMIF('Expense Log'!B4:B33,A16,'Expense Log'!G4:G33)</f>
        <v>410</v>
      </c>
      <c r="D16" s="157" t="n">
        <f aca="false">COUNTIF('Expense Log'!B4:B33,A16)</f>
        <v>2</v>
      </c>
      <c r="E16" s="158" t="n">
        <f aca="false">IFERROR(maxifs('Expense Log'!G4:G33,'Expense Log'!B4:B33,A16),0)</f>
        <v>0</v>
      </c>
      <c r="F16" s="65" t="s">
        <v>165</v>
      </c>
    </row>
    <row r="17" customFormat="false" ht="21.75" hidden="false" customHeight="true" outlineLevel="0" collapsed="false">
      <c r="A17" s="153" t="s">
        <v>125</v>
      </c>
      <c r="B17" s="154" t="s">
        <v>146</v>
      </c>
      <c r="C17" s="72" t="n">
        <f aca="false">SUMIF('Expense Log'!B4:B33,A17,'Expense Log'!G4:G33)</f>
        <v>5250</v>
      </c>
      <c r="D17" s="142" t="n">
        <f aca="false">COUNTIF('Expense Log'!B4:B33,A17)</f>
        <v>2</v>
      </c>
      <c r="E17" s="143" t="n">
        <f aca="false">IFERROR(maxifs('Expense Log'!G4:G33,'Expense Log'!B4:B33,A17),0)</f>
        <v>0</v>
      </c>
      <c r="F17" s="75" t="s">
        <v>166</v>
      </c>
    </row>
    <row r="18" customFormat="false" ht="21.75" hidden="false" customHeight="true" outlineLevel="0" collapsed="false">
      <c r="A18" s="155" t="s">
        <v>131</v>
      </c>
      <c r="B18" s="156" t="s">
        <v>148</v>
      </c>
      <c r="C18" s="62" t="n">
        <f aca="false">SUMIF('Expense Log'!B4:B33,A18,'Expense Log'!G4:G33)</f>
        <v>1599</v>
      </c>
      <c r="D18" s="157" t="n">
        <f aca="false">COUNTIF('Expense Log'!B4:B33,A18)</f>
        <v>1</v>
      </c>
      <c r="E18" s="158" t="n">
        <f aca="false">IFERROR(maxifs('Expense Log'!G4:G33,'Expense Log'!B4:B33,A18),0)</f>
        <v>0</v>
      </c>
      <c r="F18" s="65" t="s">
        <v>167</v>
      </c>
    </row>
    <row r="19" customFormat="false" ht="30" hidden="false" customHeight="true" outlineLevel="0" collapsed="false">
      <c r="A19" s="162" t="s">
        <v>168</v>
      </c>
      <c r="B19" s="162"/>
      <c r="C19" s="148" t="n">
        <f aca="false">SUM(C3:C18)</f>
        <v>33665</v>
      </c>
      <c r="D19" s="149" t="n">
        <f aca="false">SUM(D3:D18)</f>
        <v>30</v>
      </c>
      <c r="E19" s="148" t="n">
        <f aca="false">AVERAGE(C3:C18)</f>
        <v>2104.0625</v>
      </c>
      <c r="F19" s="163" t="s">
        <v>169</v>
      </c>
    </row>
  </sheetData>
  <mergeCells count="2">
    <mergeCell ref="A1:F1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4" min="3" style="1" width="18"/>
    <col collapsed="false" customWidth="true" hidden="false" outlineLevel="0" max="6" min="5" style="1" width="14"/>
  </cols>
  <sheetData>
    <row r="1" customFormat="false" ht="37.5" hidden="false" customHeight="true" outlineLevel="0" collapsed="false">
      <c r="A1" s="152" t="s">
        <v>170</v>
      </c>
      <c r="B1" s="152"/>
      <c r="C1" s="152"/>
      <c r="D1" s="152"/>
      <c r="E1" s="152"/>
      <c r="F1" s="152"/>
    </row>
    <row r="2" customFormat="false" ht="36" hidden="false" customHeight="true" outlineLevel="0" collapsed="false">
      <c r="A2" s="55" t="s">
        <v>23</v>
      </c>
      <c r="B2" s="55" t="s">
        <v>171</v>
      </c>
      <c r="C2" s="55" t="s">
        <v>136</v>
      </c>
      <c r="D2" s="55" t="s">
        <v>172</v>
      </c>
      <c r="E2" s="55" t="s">
        <v>173</v>
      </c>
      <c r="F2" s="55" t="s">
        <v>174</v>
      </c>
    </row>
    <row r="3" customFormat="false" ht="25.5" hidden="false" customHeight="true" outlineLevel="0" collapsed="false">
      <c r="A3" s="164" t="s">
        <v>30</v>
      </c>
      <c r="B3" s="94" t="n">
        <f aca="false">COUNTIF('Expense Log'!H4:H33,A3)</f>
        <v>11</v>
      </c>
      <c r="C3" s="93" t="n">
        <f aca="false">SUMIF('Expense Log'!H4:H33,A3,'Expense Log'!G4:G33)</f>
        <v>6720</v>
      </c>
      <c r="D3" s="95" t="n">
        <f aca="false">IF(B3=0,0,C3/B3)</f>
        <v>610.909090909091</v>
      </c>
      <c r="E3" s="96" t="n">
        <f aca="false">IF('Expense Log'!G34=0,0,C3/'Expense Log'!G34*100)</f>
        <v>19.9613842269419</v>
      </c>
      <c r="F3" s="96" t="n">
        <f aca="false">IF(SUM(B3:B9)=0,0,B3/SUM(B3:B9)*100)</f>
        <v>36.6666666666667</v>
      </c>
    </row>
    <row r="4" customFormat="false" ht="25.5" hidden="false" customHeight="true" outlineLevel="0" collapsed="false">
      <c r="A4" s="165" t="s">
        <v>36</v>
      </c>
      <c r="B4" s="101" t="n">
        <f aca="false">COUNTIF('Expense Log'!H4:H33,A4)</f>
        <v>7</v>
      </c>
      <c r="C4" s="100" t="n">
        <f aca="false">SUMIF('Expense Log'!H4:H33,A4,'Expense Log'!G4:G33)</f>
        <v>8907</v>
      </c>
      <c r="D4" s="102" t="n">
        <f aca="false">IF(B4=0,0,C4/B4)</f>
        <v>1272.42857142857</v>
      </c>
      <c r="E4" s="103" t="n">
        <f aca="false">IF('Expense Log'!G34=0,0,C4/'Expense Log'!G34*100)</f>
        <v>26.4577454329422</v>
      </c>
      <c r="F4" s="103" t="n">
        <f aca="false">IF(SUM(B3:B9)=0,0,B4/SUM(B3:B9)*100)</f>
        <v>23.3333333333333</v>
      </c>
    </row>
    <row r="5" customFormat="false" ht="25.5" hidden="false" customHeight="true" outlineLevel="0" collapsed="false">
      <c r="A5" s="166" t="s">
        <v>42</v>
      </c>
      <c r="B5" s="122" t="n">
        <f aca="false">COUNTIF('Expense Log'!H4:H33,A5)</f>
        <v>6</v>
      </c>
      <c r="C5" s="121" t="n">
        <f aca="false">SUMIF('Expense Log'!H4:H33,A5,'Expense Log'!G4:G33)</f>
        <v>9368</v>
      </c>
      <c r="D5" s="123" t="n">
        <f aca="false">IF(B5=0,0,C5/B5)</f>
        <v>1561.33333333333</v>
      </c>
      <c r="E5" s="124" t="n">
        <f aca="false">IF('Expense Log'!G34=0,0,C5/'Expense Log'!G34*100)</f>
        <v>27.8271201544631</v>
      </c>
      <c r="F5" s="124" t="n">
        <f aca="false">IF(SUM(B3:B9)=0,0,B5/SUM(B3:B9)*100)</f>
        <v>20</v>
      </c>
    </row>
    <row r="6" customFormat="false" ht="25.5" hidden="false" customHeight="true" outlineLevel="0" collapsed="false">
      <c r="A6" s="167" t="s">
        <v>51</v>
      </c>
      <c r="B6" s="108" t="n">
        <f aca="false">COUNTIF('Expense Log'!H4:H33,A6)</f>
        <v>2</v>
      </c>
      <c r="C6" s="107" t="n">
        <f aca="false">SUMIF('Expense Log'!H4:H33,A6,'Expense Log'!G4:G33)</f>
        <v>1450</v>
      </c>
      <c r="D6" s="109" t="n">
        <f aca="false">IF(B6=0,0,C6/B6)</f>
        <v>725</v>
      </c>
      <c r="E6" s="110" t="n">
        <f aca="false">IF('Expense Log'!G34=0,0,C6/'Expense Log'!G34*100)</f>
        <v>4.30714391801574</v>
      </c>
      <c r="F6" s="110" t="n">
        <f aca="false">IF(SUM(B3:B9)=0,0,B6/SUM(B3:B9)*100)</f>
        <v>6.66666666666667</v>
      </c>
    </row>
    <row r="7" customFormat="false" ht="25.5" hidden="false" customHeight="true" outlineLevel="0" collapsed="false">
      <c r="A7" s="168" t="s">
        <v>59</v>
      </c>
      <c r="B7" s="129" t="n">
        <f aca="false">COUNTIF('Expense Log'!H4:H33,A7)</f>
        <v>2</v>
      </c>
      <c r="C7" s="128" t="n">
        <f aca="false">SUMIF('Expense Log'!H4:H33,A7,'Expense Log'!G4:G33)</f>
        <v>6450</v>
      </c>
      <c r="D7" s="130" t="n">
        <f aca="false">IF(B7=0,0,C7/B7)</f>
        <v>3225</v>
      </c>
      <c r="E7" s="131" t="n">
        <f aca="false">IF('Expense Log'!G34=0,0,C7/'Expense Log'!G34*100)</f>
        <v>19.1593643249666</v>
      </c>
      <c r="F7" s="131" t="n">
        <f aca="false">IF(SUM(B3:B9)=0,0,B7/SUM(B3:B9)*100)</f>
        <v>6.66666666666667</v>
      </c>
    </row>
    <row r="8" customFormat="false" ht="25.5" hidden="false" customHeight="true" outlineLevel="0" collapsed="false">
      <c r="A8" s="169" t="s">
        <v>89</v>
      </c>
      <c r="B8" s="115" t="n">
        <f aca="false">COUNTIF('Expense Log'!H4:H33,A8)</f>
        <v>2</v>
      </c>
      <c r="C8" s="114" t="n">
        <f aca="false">SUMIF('Expense Log'!H4:H33,A8,'Expense Log'!G4:G33)</f>
        <v>770</v>
      </c>
      <c r="D8" s="116" t="n">
        <f aca="false">IF(B8=0,0,C8/B8)</f>
        <v>385</v>
      </c>
      <c r="E8" s="117" t="n">
        <f aca="false">IF('Expense Log'!G34=0,0,C8/'Expense Log'!G34*100)</f>
        <v>2.28724194267043</v>
      </c>
      <c r="F8" s="117" t="n">
        <f aca="false">IF(SUM(B3:B9)=0,0,B8/SUM(B3:B9)*100)</f>
        <v>6.66666666666667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2026-05-07T20:38:39Z</dcterms:created>
  <dc:creator>openpyxl</dc:creator>
  <dc:description/>
  <dc:language>en-US</dc:language>
  <cp:lastModifiedBy/>
  <dcterms:modified xsi:type="dcterms:W3CDTF">2026-05-07T20:38:54Z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